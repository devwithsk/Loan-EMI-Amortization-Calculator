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xcel 30 days challange\"/>
    </mc:Choice>
  </mc:AlternateContent>
  <xr:revisionPtr revIDLastSave="0" documentId="13_ncr:1_{8EA38D98-39EA-49C9-90D1-ED9F321E2447}" xr6:coauthVersionLast="47" xr6:coauthVersionMax="47" xr10:uidLastSave="{00000000-0000-0000-0000-000000000000}"/>
  <bookViews>
    <workbookView xWindow="-120" yWindow="-120" windowWidth="21840" windowHeight="13140" tabRatio="500" firstSheet="1" activeTab="3" xr2:uid="{00000000-000D-0000-FFFF-FFFF00000000}"/>
  </bookViews>
  <sheets>
    <sheet name="Loan_Calculator" sheetId="1" r:id="rId1"/>
    <sheet name="Amortization_Schedule" sheetId="2" r:id="rId2"/>
    <sheet name="Yearly_Summary" sheetId="3" r:id="rId3"/>
    <sheet name="EMI_Sensitiv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4" l="1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C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C11" i="1"/>
  <c r="C10" i="1"/>
  <c r="C12" i="1" l="1"/>
  <c r="C13" i="1" s="1"/>
  <c r="C14" i="1" s="1"/>
  <c r="C15" i="1" s="1"/>
  <c r="F242" i="2"/>
  <c r="F240" i="2"/>
  <c r="F238" i="2"/>
  <c r="D237" i="2"/>
  <c r="F236" i="2"/>
  <c r="E242" i="2"/>
  <c r="E240" i="2"/>
  <c r="E238" i="2"/>
  <c r="E236" i="2"/>
  <c r="E234" i="2"/>
  <c r="E232" i="2"/>
  <c r="E230" i="2"/>
  <c r="E228" i="2"/>
  <c r="E226" i="2"/>
  <c r="E224" i="2"/>
  <c r="E222" i="2"/>
  <c r="E220" i="2"/>
  <c r="E218" i="2"/>
  <c r="E216" i="2"/>
  <c r="E214" i="2"/>
  <c r="E212" i="2"/>
  <c r="E210" i="2"/>
  <c r="E208" i="2"/>
  <c r="E206" i="2"/>
  <c r="E204" i="2"/>
  <c r="E202" i="2"/>
  <c r="E200" i="2"/>
  <c r="E198" i="2"/>
  <c r="E196" i="2"/>
  <c r="E194" i="2"/>
  <c r="E192" i="2"/>
  <c r="E190" i="2"/>
  <c r="E188" i="2"/>
  <c r="E186" i="2"/>
  <c r="E184" i="2"/>
  <c r="E182" i="2"/>
  <c r="E180" i="2"/>
  <c r="E178" i="2"/>
  <c r="E176" i="2"/>
  <c r="E174" i="2"/>
  <c r="E172" i="2"/>
  <c r="E170" i="2"/>
  <c r="E168" i="2"/>
  <c r="E166" i="2"/>
  <c r="F243" i="2"/>
  <c r="D242" i="2"/>
  <c r="F241" i="2"/>
  <c r="D240" i="2"/>
  <c r="F239" i="2"/>
  <c r="D238" i="2"/>
  <c r="F237" i="2"/>
  <c r="D236" i="2"/>
  <c r="F235" i="2"/>
  <c r="D234" i="2"/>
  <c r="F233" i="2"/>
  <c r="E243" i="2"/>
  <c r="E241" i="2"/>
  <c r="E239" i="2"/>
  <c r="E237" i="2"/>
  <c r="E235" i="2"/>
  <c r="E233" i="2"/>
  <c r="E231" i="2"/>
  <c r="E229" i="2"/>
  <c r="E227" i="2"/>
  <c r="E225" i="2"/>
  <c r="E223" i="2"/>
  <c r="E221" i="2"/>
  <c r="E219" i="2"/>
  <c r="E217" i="2"/>
  <c r="E215" i="2"/>
  <c r="E213" i="2"/>
  <c r="E211" i="2"/>
  <c r="E209" i="2"/>
  <c r="E207" i="2"/>
  <c r="E205" i="2"/>
  <c r="E203" i="2"/>
  <c r="E201" i="2"/>
  <c r="E199" i="2"/>
  <c r="E197" i="2"/>
  <c r="E195" i="2"/>
  <c r="E193" i="2"/>
  <c r="E191" i="2"/>
  <c r="E189" i="2"/>
  <c r="E187" i="2"/>
  <c r="E185" i="2"/>
  <c r="E183" i="2"/>
  <c r="E181" i="2"/>
  <c r="E179" i="2"/>
  <c r="E177" i="2"/>
  <c r="E175" i="2"/>
  <c r="E173" i="2"/>
  <c r="E171" i="2"/>
  <c r="E169" i="2"/>
  <c r="D233" i="2"/>
  <c r="F230" i="2"/>
  <c r="D229" i="2"/>
  <c r="F226" i="2"/>
  <c r="D225" i="2"/>
  <c r="F222" i="2"/>
  <c r="D221" i="2"/>
  <c r="F218" i="2"/>
  <c r="D217" i="2"/>
  <c r="F214" i="2"/>
  <c r="D213" i="2"/>
  <c r="F210" i="2"/>
  <c r="D209" i="2"/>
  <c r="F206" i="2"/>
  <c r="D205" i="2"/>
  <c r="F202" i="2"/>
  <c r="D201" i="2"/>
  <c r="F198" i="2"/>
  <c r="D197" i="2"/>
  <c r="F194" i="2"/>
  <c r="D193" i="2"/>
  <c r="F190" i="2"/>
  <c r="D189" i="2"/>
  <c r="F186" i="2"/>
  <c r="D185" i="2"/>
  <c r="F182" i="2"/>
  <c r="D181" i="2"/>
  <c r="F178" i="2"/>
  <c r="D177" i="2"/>
  <c r="F174" i="2"/>
  <c r="D173" i="2"/>
  <c r="F170" i="2"/>
  <c r="D169" i="2"/>
  <c r="D168" i="2"/>
  <c r="E167" i="2"/>
  <c r="F166" i="2"/>
  <c r="F165" i="2"/>
  <c r="D164" i="2"/>
  <c r="F163" i="2"/>
  <c r="D162" i="2"/>
  <c r="F161" i="2"/>
  <c r="D160" i="2"/>
  <c r="F159" i="2"/>
  <c r="D158" i="2"/>
  <c r="F157" i="2"/>
  <c r="D156" i="2"/>
  <c r="F155" i="2"/>
  <c r="D154" i="2"/>
  <c r="F153" i="2"/>
  <c r="D152" i="2"/>
  <c r="F151" i="2"/>
  <c r="D150" i="2"/>
  <c r="F149" i="2"/>
  <c r="D148" i="2"/>
  <c r="F147" i="2"/>
  <c r="D146" i="2"/>
  <c r="F145" i="2"/>
  <c r="D144" i="2"/>
  <c r="F231" i="2"/>
  <c r="D230" i="2"/>
  <c r="F227" i="2"/>
  <c r="D226" i="2"/>
  <c r="F223" i="2"/>
  <c r="D222" i="2"/>
  <c r="F219" i="2"/>
  <c r="D218" i="2"/>
  <c r="F215" i="2"/>
  <c r="D214" i="2"/>
  <c r="F211" i="2"/>
  <c r="D210" i="2"/>
  <c r="F207" i="2"/>
  <c r="D206" i="2"/>
  <c r="F203" i="2"/>
  <c r="D202" i="2"/>
  <c r="F199" i="2"/>
  <c r="D198" i="2"/>
  <c r="F195" i="2"/>
  <c r="D194" i="2"/>
  <c r="F191" i="2"/>
  <c r="D190" i="2"/>
  <c r="F187" i="2"/>
  <c r="D186" i="2"/>
  <c r="F183" i="2"/>
  <c r="D182" i="2"/>
  <c r="F179" i="2"/>
  <c r="D178" i="2"/>
  <c r="F175" i="2"/>
  <c r="D174" i="2"/>
  <c r="F171" i="2"/>
  <c r="D170" i="2"/>
  <c r="D167" i="2"/>
  <c r="D166" i="2"/>
  <c r="E165" i="2"/>
  <c r="E163" i="2"/>
  <c r="E161" i="2"/>
  <c r="E159" i="2"/>
  <c r="E157" i="2"/>
  <c r="E155" i="2"/>
  <c r="E153" i="2"/>
  <c r="E151" i="2"/>
  <c r="E149" i="2"/>
  <c r="E147" i="2"/>
  <c r="E145" i="2"/>
  <c r="E143" i="2"/>
  <c r="E141" i="2"/>
  <c r="E139" i="2"/>
  <c r="E137" i="2"/>
  <c r="E135" i="2"/>
  <c r="E133" i="2"/>
  <c r="E131" i="2"/>
  <c r="E129" i="2"/>
  <c r="E127" i="2"/>
  <c r="E125" i="2"/>
  <c r="F234" i="2"/>
  <c r="F232" i="2"/>
  <c r="D231" i="2"/>
  <c r="F228" i="2"/>
  <c r="D227" i="2"/>
  <c r="F224" i="2"/>
  <c r="D223" i="2"/>
  <c r="F220" i="2"/>
  <c r="D219" i="2"/>
  <c r="F216" i="2"/>
  <c r="D215" i="2"/>
  <c r="F212" i="2"/>
  <c r="D211" i="2"/>
  <c r="F208" i="2"/>
  <c r="D207" i="2"/>
  <c r="F204" i="2"/>
  <c r="D203" i="2"/>
  <c r="F200" i="2"/>
  <c r="D199" i="2"/>
  <c r="F196" i="2"/>
  <c r="D195" i="2"/>
  <c r="F192" i="2"/>
  <c r="D191" i="2"/>
  <c r="F188" i="2"/>
  <c r="D187" i="2"/>
  <c r="F184" i="2"/>
  <c r="D183" i="2"/>
  <c r="F180" i="2"/>
  <c r="D179" i="2"/>
  <c r="F176" i="2"/>
  <c r="D175" i="2"/>
  <c r="F172" i="2"/>
  <c r="D171" i="2"/>
  <c r="D165" i="2"/>
  <c r="F164" i="2"/>
  <c r="D163" i="2"/>
  <c r="F162" i="2"/>
  <c r="D161" i="2"/>
  <c r="F160" i="2"/>
  <c r="D159" i="2"/>
  <c r="F158" i="2"/>
  <c r="D157" i="2"/>
  <c r="F156" i="2"/>
  <c r="D155" i="2"/>
  <c r="F154" i="2"/>
  <c r="D153" i="2"/>
  <c r="F152" i="2"/>
  <c r="D151" i="2"/>
  <c r="F150" i="2"/>
  <c r="D149" i="2"/>
  <c r="F148" i="2"/>
  <c r="D147" i="2"/>
  <c r="F146" i="2"/>
  <c r="D145" i="2"/>
  <c r="F144" i="2"/>
  <c r="D143" i="2"/>
  <c r="F142" i="2"/>
  <c r="D141" i="2"/>
  <c r="F140" i="2"/>
  <c r="D139" i="2"/>
  <c r="F138" i="2"/>
  <c r="D137" i="2"/>
  <c r="F136" i="2"/>
  <c r="D135" i="2"/>
  <c r="F134" i="2"/>
  <c r="D133" i="2"/>
  <c r="F132" i="2"/>
  <c r="D131" i="2"/>
  <c r="F130" i="2"/>
  <c r="D129" i="2"/>
  <c r="F128" i="2"/>
  <c r="D232" i="2"/>
  <c r="F229" i="2"/>
  <c r="D228" i="2"/>
  <c r="F225" i="2"/>
  <c r="D224" i="2"/>
  <c r="F221" i="2"/>
  <c r="D220" i="2"/>
  <c r="F217" i="2"/>
  <c r="D216" i="2"/>
  <c r="F213" i="2"/>
  <c r="D212" i="2"/>
  <c r="F209" i="2"/>
  <c r="D208" i="2"/>
  <c r="F205" i="2"/>
  <c r="D204" i="2"/>
  <c r="F201" i="2"/>
  <c r="D200" i="2"/>
  <c r="F197" i="2"/>
  <c r="D196" i="2"/>
  <c r="F193" i="2"/>
  <c r="D192" i="2"/>
  <c r="F189" i="2"/>
  <c r="D188" i="2"/>
  <c r="F185" i="2"/>
  <c r="D184" i="2"/>
  <c r="F181" i="2"/>
  <c r="D180" i="2"/>
  <c r="F177" i="2"/>
  <c r="D176" i="2"/>
  <c r="F173" i="2"/>
  <c r="D172" i="2"/>
  <c r="F169" i="2"/>
  <c r="F168" i="2"/>
  <c r="F167" i="2"/>
  <c r="E164" i="2"/>
  <c r="E162" i="2"/>
  <c r="E160" i="2"/>
  <c r="E158" i="2"/>
  <c r="E156" i="2"/>
  <c r="E154" i="2"/>
  <c r="E152" i="2"/>
  <c r="E150" i="2"/>
  <c r="E148" i="2"/>
  <c r="E146" i="2"/>
  <c r="E144" i="2"/>
  <c r="E142" i="2"/>
  <c r="E140" i="2"/>
  <c r="E138" i="2"/>
  <c r="E136" i="2"/>
  <c r="E134" i="2"/>
  <c r="E132" i="2"/>
  <c r="E130" i="2"/>
  <c r="E128" i="2"/>
  <c r="E126" i="2"/>
  <c r="D142" i="2"/>
  <c r="F139" i="2"/>
  <c r="D134" i="2"/>
  <c r="F131" i="2"/>
  <c r="D127" i="2"/>
  <c r="D124" i="2"/>
  <c r="E123" i="2"/>
  <c r="E121" i="2"/>
  <c r="E119" i="2"/>
  <c r="E117" i="2"/>
  <c r="E115" i="2"/>
  <c r="E113" i="2"/>
  <c r="E111" i="2"/>
  <c r="E109" i="2"/>
  <c r="E107" i="2"/>
  <c r="E105" i="2"/>
  <c r="E103" i="2"/>
  <c r="E101" i="2"/>
  <c r="E99" i="2"/>
  <c r="E97" i="2"/>
  <c r="E95" i="2"/>
  <c r="E93" i="2"/>
  <c r="E91" i="2"/>
  <c r="E89" i="2"/>
  <c r="E87" i="2"/>
  <c r="E85" i="2"/>
  <c r="E83" i="2"/>
  <c r="E81" i="2"/>
  <c r="E79" i="2"/>
  <c r="E77" i="2"/>
  <c r="E75" i="2"/>
  <c r="E73" i="2"/>
  <c r="E71" i="2"/>
  <c r="E69" i="2"/>
  <c r="E67" i="2"/>
  <c r="E65" i="2"/>
  <c r="E63" i="2"/>
  <c r="E61" i="2"/>
  <c r="E59" i="2"/>
  <c r="E57" i="2"/>
  <c r="E55" i="2"/>
  <c r="E53" i="2"/>
  <c r="E51" i="2"/>
  <c r="E49" i="2"/>
  <c r="E47" i="2"/>
  <c r="E45" i="2"/>
  <c r="E43" i="2"/>
  <c r="E41" i="2"/>
  <c r="F141" i="2"/>
  <c r="D136" i="2"/>
  <c r="F133" i="2"/>
  <c r="D128" i="2"/>
  <c r="D123" i="2"/>
  <c r="F122" i="2"/>
  <c r="D121" i="2"/>
  <c r="F120" i="2"/>
  <c r="D119" i="2"/>
  <c r="F118" i="2"/>
  <c r="D117" i="2"/>
  <c r="F116" i="2"/>
  <c r="D115" i="2"/>
  <c r="F114" i="2"/>
  <c r="D113" i="2"/>
  <c r="F112" i="2"/>
  <c r="D111" i="2"/>
  <c r="F110" i="2"/>
  <c r="D109" i="2"/>
  <c r="F108" i="2"/>
  <c r="D107" i="2"/>
  <c r="F106" i="2"/>
  <c r="D105" i="2"/>
  <c r="F104" i="2"/>
  <c r="D103" i="2"/>
  <c r="F102" i="2"/>
  <c r="D101" i="2"/>
  <c r="F100" i="2"/>
  <c r="D99" i="2"/>
  <c r="F98" i="2"/>
  <c r="D97" i="2"/>
  <c r="F96" i="2"/>
  <c r="D95" i="2"/>
  <c r="F94" i="2"/>
  <c r="D93" i="2"/>
  <c r="F92" i="2"/>
  <c r="D91" i="2"/>
  <c r="F90" i="2"/>
  <c r="D89" i="2"/>
  <c r="F88" i="2"/>
  <c r="D87" i="2"/>
  <c r="F86" i="2"/>
  <c r="D85" i="2"/>
  <c r="F84" i="2"/>
  <c r="D83" i="2"/>
  <c r="F82" i="2"/>
  <c r="D81" i="2"/>
  <c r="F80" i="2"/>
  <c r="D79" i="2"/>
  <c r="F78" i="2"/>
  <c r="D77" i="2"/>
  <c r="F76" i="2"/>
  <c r="D75" i="2"/>
  <c r="F74" i="2"/>
  <c r="D73" i="2"/>
  <c r="F72" i="2"/>
  <c r="D71" i="2"/>
  <c r="F70" i="2"/>
  <c r="D69" i="2"/>
  <c r="F68" i="2"/>
  <c r="D67" i="2"/>
  <c r="F66" i="2"/>
  <c r="D65" i="2"/>
  <c r="F64" i="2"/>
  <c r="D63" i="2"/>
  <c r="F62" i="2"/>
  <c r="D61" i="2"/>
  <c r="F60" i="2"/>
  <c r="D59" i="2"/>
  <c r="F58" i="2"/>
  <c r="D57" i="2"/>
  <c r="F56" i="2"/>
  <c r="D55" i="2"/>
  <c r="F54" i="2"/>
  <c r="D53" i="2"/>
  <c r="F52" i="2"/>
  <c r="D51" i="2"/>
  <c r="F50" i="2"/>
  <c r="D49" i="2"/>
  <c r="F48" i="2"/>
  <c r="D47" i="2"/>
  <c r="F46" i="2"/>
  <c r="D45" i="2"/>
  <c r="F44" i="2"/>
  <c r="D43" i="2"/>
  <c r="F143" i="2"/>
  <c r="D138" i="2"/>
  <c r="F135" i="2"/>
  <c r="D130" i="2"/>
  <c r="F126" i="2"/>
  <c r="F125" i="2"/>
  <c r="F124" i="2"/>
  <c r="E122" i="2"/>
  <c r="E120" i="2"/>
  <c r="E118" i="2"/>
  <c r="E116" i="2"/>
  <c r="E114" i="2"/>
  <c r="E112" i="2"/>
  <c r="E110" i="2"/>
  <c r="E108" i="2"/>
  <c r="E106" i="2"/>
  <c r="E104" i="2"/>
  <c r="E102" i="2"/>
  <c r="E100" i="2"/>
  <c r="E98" i="2"/>
  <c r="E96" i="2"/>
  <c r="E94" i="2"/>
  <c r="E92" i="2"/>
  <c r="E90" i="2"/>
  <c r="E88" i="2"/>
  <c r="E86" i="2"/>
  <c r="E84" i="2"/>
  <c r="E82" i="2"/>
  <c r="E80" i="2"/>
  <c r="E78" i="2"/>
  <c r="E76" i="2"/>
  <c r="E74" i="2"/>
  <c r="E72" i="2"/>
  <c r="E70" i="2"/>
  <c r="E68" i="2"/>
  <c r="E66" i="2"/>
  <c r="E64" i="2"/>
  <c r="E62" i="2"/>
  <c r="E60" i="2"/>
  <c r="E58" i="2"/>
  <c r="E56" i="2"/>
  <c r="E54" i="2"/>
  <c r="E52" i="2"/>
  <c r="E50" i="2"/>
  <c r="E48" i="2"/>
  <c r="E46" i="2"/>
  <c r="E44" i="2"/>
  <c r="E42" i="2"/>
  <c r="E40" i="2"/>
  <c r="E38" i="2"/>
  <c r="E36" i="2"/>
  <c r="E34" i="2"/>
  <c r="E32" i="2"/>
  <c r="E30" i="2"/>
  <c r="E28" i="2"/>
  <c r="E26" i="2"/>
  <c r="E24" i="2"/>
  <c r="E22" i="2"/>
  <c r="E20" i="2"/>
  <c r="E18" i="2"/>
  <c r="D140" i="2"/>
  <c r="F137" i="2"/>
  <c r="D132" i="2"/>
  <c r="F129" i="2"/>
  <c r="F127" i="2"/>
  <c r="D126" i="2"/>
  <c r="D125" i="2"/>
  <c r="E124" i="2"/>
  <c r="F123" i="2"/>
  <c r="D122" i="2"/>
  <c r="F121" i="2"/>
  <c r="D120" i="2"/>
  <c r="F119" i="2"/>
  <c r="D118" i="2"/>
  <c r="F117" i="2"/>
  <c r="D116" i="2"/>
  <c r="F115" i="2"/>
  <c r="D114" i="2"/>
  <c r="F113" i="2"/>
  <c r="D112" i="2"/>
  <c r="F111" i="2"/>
  <c r="D110" i="2"/>
  <c r="F109" i="2"/>
  <c r="D108" i="2"/>
  <c r="F107" i="2"/>
  <c r="D106" i="2"/>
  <c r="F105" i="2"/>
  <c r="D104" i="2"/>
  <c r="F103" i="2"/>
  <c r="D102" i="2"/>
  <c r="F101" i="2"/>
  <c r="D100" i="2"/>
  <c r="F99" i="2"/>
  <c r="D98" i="2"/>
  <c r="F97" i="2"/>
  <c r="D96" i="2"/>
  <c r="F95" i="2"/>
  <c r="D94" i="2"/>
  <c r="F93" i="2"/>
  <c r="D92" i="2"/>
  <c r="F91" i="2"/>
  <c r="D90" i="2"/>
  <c r="F89" i="2"/>
  <c r="D88" i="2"/>
  <c r="F87" i="2"/>
  <c r="D86" i="2"/>
  <c r="F85" i="2"/>
  <c r="D84" i="2"/>
  <c r="F83" i="2"/>
  <c r="D82" i="2"/>
  <c r="F81" i="2"/>
  <c r="D80" i="2"/>
  <c r="F79" i="2"/>
  <c r="D78" i="2"/>
  <c r="F77" i="2"/>
  <c r="D76" i="2"/>
  <c r="F75" i="2"/>
  <c r="D74" i="2"/>
  <c r="F73" i="2"/>
  <c r="D72" i="2"/>
  <c r="F71" i="2"/>
  <c r="D70" i="2"/>
  <c r="F69" i="2"/>
  <c r="D68" i="2"/>
  <c r="F67" i="2"/>
  <c r="D66" i="2"/>
  <c r="F65" i="2"/>
  <c r="D64" i="2"/>
  <c r="F63" i="2"/>
  <c r="D62" i="2"/>
  <c r="F61" i="2"/>
  <c r="D60" i="2"/>
  <c r="F59" i="2"/>
  <c r="D58" i="2"/>
  <c r="F57" i="2"/>
  <c r="D56" i="2"/>
  <c r="F55" i="2"/>
  <c r="D54" i="2"/>
  <c r="F53" i="2"/>
  <c r="D52" i="2"/>
  <c r="F51" i="2"/>
  <c r="D50" i="2"/>
  <c r="F49" i="2"/>
  <c r="D48" i="2"/>
  <c r="F47" i="2"/>
  <c r="D46" i="2"/>
  <c r="F45" i="2"/>
  <c r="F4" i="2"/>
  <c r="D5" i="2"/>
  <c r="F6" i="2"/>
  <c r="D7" i="2"/>
  <c r="F8" i="2"/>
  <c r="D9" i="2"/>
  <c r="F10" i="2"/>
  <c r="D11" i="2"/>
  <c r="F12" i="2"/>
  <c r="D13" i="2"/>
  <c r="F14" i="2"/>
  <c r="D15" i="2"/>
  <c r="F16" i="2"/>
  <c r="D17" i="2"/>
  <c r="F21" i="2"/>
  <c r="F22" i="2"/>
  <c r="E23" i="2"/>
  <c r="D24" i="2"/>
  <c r="D25" i="2"/>
  <c r="F29" i="2"/>
  <c r="F30" i="2"/>
  <c r="E31" i="2"/>
  <c r="D32" i="2"/>
  <c r="D33" i="2"/>
  <c r="F37" i="2"/>
  <c r="F38" i="2"/>
  <c r="E39" i="2"/>
  <c r="F40" i="2"/>
  <c r="F43" i="2"/>
  <c r="E4" i="2"/>
  <c r="E8" i="2"/>
  <c r="E10" i="2"/>
  <c r="E12" i="2"/>
  <c r="E5" i="2"/>
  <c r="E7" i="2"/>
  <c r="E9" i="2"/>
  <c r="E11" i="2"/>
  <c r="E13" i="2"/>
  <c r="E15" i="2"/>
  <c r="E17" i="2"/>
  <c r="D18" i="2"/>
  <c r="D19" i="2"/>
  <c r="F23" i="2"/>
  <c r="F24" i="2"/>
  <c r="E25" i="2"/>
  <c r="D26" i="2"/>
  <c r="D27" i="2"/>
  <c r="F31" i="2"/>
  <c r="F32" i="2"/>
  <c r="E33" i="2"/>
  <c r="D34" i="2"/>
  <c r="D35" i="2"/>
  <c r="F39" i="2"/>
  <c r="D42" i="2"/>
  <c r="D44" i="2"/>
  <c r="D4" i="2"/>
  <c r="F5" i="2"/>
  <c r="D6" i="2"/>
  <c r="F7" i="2"/>
  <c r="D8" i="2"/>
  <c r="F9" i="2"/>
  <c r="D10" i="2"/>
  <c r="F11" i="2"/>
  <c r="D12" i="2"/>
  <c r="F13" i="2"/>
  <c r="D14" i="2"/>
  <c r="F15" i="2"/>
  <c r="D16" i="2"/>
  <c r="F17" i="2"/>
  <c r="F18" i="2"/>
  <c r="E19" i="2"/>
  <c r="D20" i="2"/>
  <c r="D21" i="2"/>
  <c r="F25" i="2"/>
  <c r="F26" i="2"/>
  <c r="E27" i="2"/>
  <c r="D28" i="2"/>
  <c r="D29" i="2"/>
  <c r="F33" i="2"/>
  <c r="F34" i="2"/>
  <c r="E35" i="2"/>
  <c r="D36" i="2"/>
  <c r="D37" i="2"/>
  <c r="D41" i="2"/>
  <c r="F42" i="2"/>
  <c r="E6" i="2"/>
  <c r="E14" i="2"/>
  <c r="E16" i="2"/>
  <c r="F19" i="2"/>
  <c r="F20" i="2"/>
  <c r="E21" i="2"/>
  <c r="D22" i="2"/>
  <c r="D23" i="2"/>
  <c r="F27" i="2"/>
  <c r="F28" i="2"/>
  <c r="E29" i="2"/>
  <c r="D30" i="2"/>
  <c r="D31" i="2"/>
  <c r="F35" i="2"/>
  <c r="F36" i="2"/>
  <c r="E37" i="2"/>
  <c r="D38" i="2"/>
  <c r="D39" i="2"/>
  <c r="D40" i="2"/>
  <c r="F41" i="2"/>
  <c r="D241" i="2" l="1"/>
  <c r="D235" i="2"/>
  <c r="D239" i="2"/>
  <c r="D243" i="2"/>
  <c r="C23" i="3"/>
  <c r="C6" i="3"/>
  <c r="B15" i="3"/>
  <c r="B17" i="3"/>
  <c r="C18" i="3"/>
  <c r="C20" i="3"/>
  <c r="C22" i="3"/>
  <c r="B5" i="3"/>
  <c r="C7" i="3"/>
  <c r="B6" i="3"/>
  <c r="D6" i="3" s="1"/>
  <c r="B8" i="3"/>
  <c r="B10" i="3"/>
  <c r="B12" i="3"/>
  <c r="C14" i="3"/>
  <c r="C8" i="3"/>
  <c r="C9" i="3"/>
  <c r="C10" i="3"/>
  <c r="C11" i="3"/>
  <c r="C12" i="3"/>
  <c r="C13" i="3"/>
  <c r="B19" i="3"/>
  <c r="B21" i="3"/>
  <c r="B23" i="3"/>
  <c r="B4" i="3"/>
  <c r="B7" i="3"/>
  <c r="D7" i="3" s="1"/>
  <c r="B9" i="3"/>
  <c r="B11" i="3"/>
  <c r="B13" i="3"/>
  <c r="C15" i="3"/>
  <c r="C16" i="3"/>
  <c r="C17" i="3"/>
  <c r="C5" i="3"/>
  <c r="C4" i="3"/>
  <c r="B14" i="3"/>
  <c r="D14" i="3" s="1"/>
  <c r="B16" i="3"/>
  <c r="C19" i="3"/>
  <c r="C21" i="3"/>
  <c r="B18" i="3"/>
  <c r="B20" i="3"/>
  <c r="B22" i="3"/>
  <c r="G4" i="2"/>
  <c r="C5" i="2" s="1"/>
  <c r="G5" i="2" s="1"/>
  <c r="C6" i="2" s="1"/>
  <c r="G6" i="2" s="1"/>
  <c r="C7" i="2" s="1"/>
  <c r="G7" i="2" s="1"/>
  <c r="C8" i="2" s="1"/>
  <c r="G8" i="2" s="1"/>
  <c r="C9" i="2" s="1"/>
  <c r="G9" i="2" s="1"/>
  <c r="C10" i="2" s="1"/>
  <c r="G10" i="2" s="1"/>
  <c r="C11" i="2" s="1"/>
  <c r="G11" i="2" s="1"/>
  <c r="C12" i="2" s="1"/>
  <c r="G12" i="2" s="1"/>
  <c r="C13" i="2" s="1"/>
  <c r="G13" i="2" s="1"/>
  <c r="C14" i="2" s="1"/>
  <c r="G14" i="2" s="1"/>
  <c r="C15" i="2" s="1"/>
  <c r="G15" i="2" s="1"/>
  <c r="D23" i="3" l="1"/>
  <c r="D18" i="3"/>
  <c r="D15" i="3"/>
  <c r="D20" i="3"/>
  <c r="D16" i="3"/>
  <c r="D11" i="3"/>
  <c r="D9" i="3"/>
  <c r="D22" i="3"/>
  <c r="D13" i="3"/>
  <c r="D17" i="3"/>
  <c r="D8" i="3"/>
  <c r="D4" i="3"/>
  <c r="D21" i="3"/>
  <c r="D12" i="3"/>
  <c r="E4" i="3"/>
  <c r="C16" i="2"/>
  <c r="G16" i="2" s="1"/>
  <c r="C17" i="2" s="1"/>
  <c r="G17" i="2" s="1"/>
  <c r="C18" i="2" s="1"/>
  <c r="G18" i="2" s="1"/>
  <c r="C19" i="2" s="1"/>
  <c r="G19" i="2" s="1"/>
  <c r="C20" i="2" s="1"/>
  <c r="G20" i="2" s="1"/>
  <c r="C21" i="2" s="1"/>
  <c r="G21" i="2" s="1"/>
  <c r="C22" i="2" s="1"/>
  <c r="G22" i="2" s="1"/>
  <c r="C23" i="2" s="1"/>
  <c r="G23" i="2" s="1"/>
  <c r="C24" i="2" s="1"/>
  <c r="G24" i="2" s="1"/>
  <c r="C25" i="2" s="1"/>
  <c r="G25" i="2" s="1"/>
  <c r="C26" i="2" s="1"/>
  <c r="G26" i="2" s="1"/>
  <c r="C27" i="2" s="1"/>
  <c r="G27" i="2" s="1"/>
  <c r="D19" i="3"/>
  <c r="D10" i="3"/>
  <c r="D5" i="3"/>
  <c r="E5" i="3" l="1"/>
  <c r="C28" i="2"/>
  <c r="G28" i="2" s="1"/>
  <c r="C29" i="2" s="1"/>
  <c r="G29" i="2" s="1"/>
  <c r="C30" i="2" s="1"/>
  <c r="G30" i="2" s="1"/>
  <c r="C31" i="2" s="1"/>
  <c r="G31" i="2" s="1"/>
  <c r="C32" i="2" s="1"/>
  <c r="G32" i="2" s="1"/>
  <c r="C33" i="2" s="1"/>
  <c r="G33" i="2" s="1"/>
  <c r="C34" i="2" s="1"/>
  <c r="G34" i="2" s="1"/>
  <c r="C35" i="2" s="1"/>
  <c r="G35" i="2" s="1"/>
  <c r="C36" i="2" s="1"/>
  <c r="G36" i="2" s="1"/>
  <c r="C37" i="2" s="1"/>
  <c r="G37" i="2" s="1"/>
  <c r="C38" i="2" s="1"/>
  <c r="G38" i="2" s="1"/>
  <c r="C39" i="2" s="1"/>
  <c r="G39" i="2" s="1"/>
  <c r="E6" i="3" l="1"/>
  <c r="C40" i="2"/>
  <c r="G40" i="2" s="1"/>
  <c r="C41" i="2" s="1"/>
  <c r="G41" i="2" s="1"/>
  <c r="C42" i="2" s="1"/>
  <c r="G42" i="2" s="1"/>
  <c r="C43" i="2" s="1"/>
  <c r="G43" i="2" s="1"/>
  <c r="C44" i="2" s="1"/>
  <c r="G44" i="2" s="1"/>
  <c r="C45" i="2" s="1"/>
  <c r="G45" i="2" s="1"/>
  <c r="C46" i="2" s="1"/>
  <c r="G46" i="2" s="1"/>
  <c r="C47" i="2" s="1"/>
  <c r="G47" i="2" s="1"/>
  <c r="C48" i="2" s="1"/>
  <c r="G48" i="2" s="1"/>
  <c r="C49" i="2" s="1"/>
  <c r="G49" i="2" s="1"/>
  <c r="C50" i="2" s="1"/>
  <c r="G50" i="2" s="1"/>
  <c r="C51" i="2" s="1"/>
  <c r="G51" i="2" s="1"/>
  <c r="E7" i="3" l="1"/>
  <c r="C52" i="2"/>
  <c r="G52" i="2" s="1"/>
  <c r="C53" i="2" s="1"/>
  <c r="G53" i="2" s="1"/>
  <c r="C54" i="2" s="1"/>
  <c r="G54" i="2" s="1"/>
  <c r="C55" i="2" s="1"/>
  <c r="G55" i="2" s="1"/>
  <c r="C56" i="2" s="1"/>
  <c r="G56" i="2" s="1"/>
  <c r="C57" i="2" s="1"/>
  <c r="G57" i="2" s="1"/>
  <c r="C58" i="2" s="1"/>
  <c r="G58" i="2" s="1"/>
  <c r="C59" i="2" s="1"/>
  <c r="G59" i="2" s="1"/>
  <c r="C60" i="2" s="1"/>
  <c r="G60" i="2" s="1"/>
  <c r="C61" i="2" s="1"/>
  <c r="G61" i="2" s="1"/>
  <c r="C62" i="2" s="1"/>
  <c r="G62" i="2" s="1"/>
  <c r="C63" i="2" s="1"/>
  <c r="G63" i="2" s="1"/>
  <c r="E8" i="3" l="1"/>
  <c r="C64" i="2"/>
  <c r="G64" i="2" s="1"/>
  <c r="C65" i="2" s="1"/>
  <c r="G65" i="2" s="1"/>
  <c r="C66" i="2" s="1"/>
  <c r="G66" i="2" s="1"/>
  <c r="C67" i="2" s="1"/>
  <c r="G67" i="2" s="1"/>
  <c r="C68" i="2" s="1"/>
  <c r="G68" i="2" s="1"/>
  <c r="C69" i="2" s="1"/>
  <c r="G69" i="2" s="1"/>
  <c r="C70" i="2" s="1"/>
  <c r="G70" i="2" s="1"/>
  <c r="C71" i="2" s="1"/>
  <c r="G71" i="2" s="1"/>
  <c r="C72" i="2" s="1"/>
  <c r="G72" i="2" s="1"/>
  <c r="C73" i="2" s="1"/>
  <c r="G73" i="2" s="1"/>
  <c r="C74" i="2" s="1"/>
  <c r="G74" i="2" s="1"/>
  <c r="C75" i="2" s="1"/>
  <c r="G75" i="2" s="1"/>
  <c r="E9" i="3" l="1"/>
  <c r="C76" i="2"/>
  <c r="G76" i="2" s="1"/>
  <c r="C77" i="2" s="1"/>
  <c r="G77" i="2" s="1"/>
  <c r="C78" i="2" s="1"/>
  <c r="G78" i="2" s="1"/>
  <c r="C79" i="2" s="1"/>
  <c r="G79" i="2" s="1"/>
  <c r="C80" i="2" s="1"/>
  <c r="G80" i="2" s="1"/>
  <c r="C81" i="2" s="1"/>
  <c r="G81" i="2" s="1"/>
  <c r="C82" i="2" s="1"/>
  <c r="G82" i="2" s="1"/>
  <c r="C83" i="2" s="1"/>
  <c r="G83" i="2" s="1"/>
  <c r="C84" i="2" s="1"/>
  <c r="G84" i="2" s="1"/>
  <c r="C85" i="2" s="1"/>
  <c r="G85" i="2" s="1"/>
  <c r="C86" i="2" s="1"/>
  <c r="G86" i="2" s="1"/>
  <c r="C87" i="2" s="1"/>
  <c r="G87" i="2" s="1"/>
  <c r="E10" i="3" l="1"/>
  <c r="C88" i="2"/>
  <c r="G88" i="2" s="1"/>
  <c r="C89" i="2" s="1"/>
  <c r="G89" i="2" s="1"/>
  <c r="C90" i="2" s="1"/>
  <c r="G90" i="2" s="1"/>
  <c r="C91" i="2" s="1"/>
  <c r="G91" i="2" s="1"/>
  <c r="C92" i="2" s="1"/>
  <c r="G92" i="2" s="1"/>
  <c r="C93" i="2" s="1"/>
  <c r="G93" i="2" s="1"/>
  <c r="C94" i="2" s="1"/>
  <c r="G94" i="2" s="1"/>
  <c r="C95" i="2" s="1"/>
  <c r="G95" i="2" s="1"/>
  <c r="C96" i="2" s="1"/>
  <c r="G96" i="2" s="1"/>
  <c r="C97" i="2" s="1"/>
  <c r="G97" i="2" s="1"/>
  <c r="C98" i="2" s="1"/>
  <c r="G98" i="2" s="1"/>
  <c r="C99" i="2" s="1"/>
  <c r="G99" i="2" s="1"/>
  <c r="E11" i="3" l="1"/>
  <c r="C100" i="2"/>
  <c r="G100" i="2" s="1"/>
  <c r="C101" i="2" s="1"/>
  <c r="G101" i="2" s="1"/>
  <c r="C102" i="2" s="1"/>
  <c r="G102" i="2" s="1"/>
  <c r="C103" i="2" s="1"/>
  <c r="G103" i="2" s="1"/>
  <c r="C104" i="2" s="1"/>
  <c r="G104" i="2" s="1"/>
  <c r="C105" i="2" s="1"/>
  <c r="G105" i="2" s="1"/>
  <c r="C106" i="2" s="1"/>
  <c r="G106" i="2" s="1"/>
  <c r="C107" i="2" s="1"/>
  <c r="G107" i="2" s="1"/>
  <c r="C108" i="2" s="1"/>
  <c r="G108" i="2" s="1"/>
  <c r="C109" i="2" s="1"/>
  <c r="G109" i="2" s="1"/>
  <c r="C110" i="2" s="1"/>
  <c r="G110" i="2" s="1"/>
  <c r="C111" i="2" s="1"/>
  <c r="G111" i="2" s="1"/>
  <c r="E12" i="3" l="1"/>
  <c r="C112" i="2"/>
  <c r="G112" i="2" s="1"/>
  <c r="C113" i="2" s="1"/>
  <c r="G113" i="2" s="1"/>
  <c r="C114" i="2" s="1"/>
  <c r="G114" i="2" s="1"/>
  <c r="C115" i="2" s="1"/>
  <c r="G115" i="2" s="1"/>
  <c r="C116" i="2" s="1"/>
  <c r="G116" i="2" s="1"/>
  <c r="C117" i="2" s="1"/>
  <c r="G117" i="2" s="1"/>
  <c r="C118" i="2" s="1"/>
  <c r="G118" i="2" s="1"/>
  <c r="C119" i="2" s="1"/>
  <c r="G119" i="2" s="1"/>
  <c r="C120" i="2" s="1"/>
  <c r="G120" i="2" s="1"/>
  <c r="C121" i="2" s="1"/>
  <c r="G121" i="2" s="1"/>
  <c r="C122" i="2" s="1"/>
  <c r="G122" i="2" s="1"/>
  <c r="C123" i="2" s="1"/>
  <c r="G123" i="2" s="1"/>
  <c r="E13" i="3" l="1"/>
  <c r="C124" i="2"/>
  <c r="G124" i="2" s="1"/>
  <c r="C125" i="2" s="1"/>
  <c r="G125" i="2" s="1"/>
  <c r="C126" i="2" s="1"/>
  <c r="G126" i="2" s="1"/>
  <c r="C127" i="2" s="1"/>
  <c r="G127" i="2" s="1"/>
  <c r="C128" i="2" s="1"/>
  <c r="G128" i="2" s="1"/>
  <c r="C129" i="2" s="1"/>
  <c r="G129" i="2" s="1"/>
  <c r="C130" i="2" s="1"/>
  <c r="G130" i="2" s="1"/>
  <c r="C131" i="2" s="1"/>
  <c r="G131" i="2" s="1"/>
  <c r="C132" i="2" s="1"/>
  <c r="G132" i="2" s="1"/>
  <c r="C133" i="2" s="1"/>
  <c r="G133" i="2" s="1"/>
  <c r="C134" i="2" s="1"/>
  <c r="G134" i="2" s="1"/>
  <c r="C135" i="2" s="1"/>
  <c r="G135" i="2" s="1"/>
  <c r="E14" i="3" l="1"/>
  <c r="C136" i="2"/>
  <c r="G136" i="2" s="1"/>
  <c r="C137" i="2" s="1"/>
  <c r="G137" i="2" s="1"/>
  <c r="C138" i="2" s="1"/>
  <c r="G138" i="2" s="1"/>
  <c r="C139" i="2" s="1"/>
  <c r="G139" i="2" s="1"/>
  <c r="C140" i="2" s="1"/>
  <c r="G140" i="2" s="1"/>
  <c r="C141" i="2" s="1"/>
  <c r="G141" i="2" s="1"/>
  <c r="C142" i="2" s="1"/>
  <c r="G142" i="2" s="1"/>
  <c r="C143" i="2" s="1"/>
  <c r="G143" i="2" s="1"/>
  <c r="C144" i="2" s="1"/>
  <c r="G144" i="2" s="1"/>
  <c r="C145" i="2" s="1"/>
  <c r="G145" i="2" s="1"/>
  <c r="C146" i="2" s="1"/>
  <c r="G146" i="2" s="1"/>
  <c r="C147" i="2" s="1"/>
  <c r="G147" i="2" s="1"/>
  <c r="E15" i="3" l="1"/>
  <c r="C148" i="2"/>
  <c r="G148" i="2" s="1"/>
  <c r="C149" i="2" s="1"/>
  <c r="G149" i="2" s="1"/>
  <c r="C150" i="2" s="1"/>
  <c r="G150" i="2" s="1"/>
  <c r="C151" i="2" s="1"/>
  <c r="G151" i="2" s="1"/>
  <c r="C152" i="2" s="1"/>
  <c r="G152" i="2" s="1"/>
  <c r="C153" i="2" s="1"/>
  <c r="G153" i="2" s="1"/>
  <c r="C154" i="2" s="1"/>
  <c r="G154" i="2" s="1"/>
  <c r="C155" i="2" s="1"/>
  <c r="G155" i="2" s="1"/>
  <c r="C156" i="2" s="1"/>
  <c r="G156" i="2" s="1"/>
  <c r="C157" i="2" s="1"/>
  <c r="G157" i="2" s="1"/>
  <c r="C158" i="2" s="1"/>
  <c r="G158" i="2" s="1"/>
  <c r="C159" i="2" s="1"/>
  <c r="G159" i="2" s="1"/>
  <c r="E16" i="3" l="1"/>
  <c r="C160" i="2"/>
  <c r="G160" i="2" s="1"/>
  <c r="C161" i="2" s="1"/>
  <c r="G161" i="2" s="1"/>
  <c r="C162" i="2" s="1"/>
  <c r="G162" i="2" s="1"/>
  <c r="C163" i="2" s="1"/>
  <c r="G163" i="2" s="1"/>
  <c r="C164" i="2" s="1"/>
  <c r="G164" i="2" s="1"/>
  <c r="C165" i="2" s="1"/>
  <c r="G165" i="2" s="1"/>
  <c r="C166" i="2" s="1"/>
  <c r="G166" i="2" s="1"/>
  <c r="C167" i="2" s="1"/>
  <c r="G167" i="2" s="1"/>
  <c r="C168" i="2" s="1"/>
  <c r="G168" i="2" s="1"/>
  <c r="C169" i="2" s="1"/>
  <c r="G169" i="2" s="1"/>
  <c r="C170" i="2" s="1"/>
  <c r="G170" i="2" s="1"/>
  <c r="C171" i="2" s="1"/>
  <c r="G171" i="2" s="1"/>
  <c r="E17" i="3" l="1"/>
  <c r="C172" i="2"/>
  <c r="G172" i="2" s="1"/>
  <c r="C173" i="2" s="1"/>
  <c r="G173" i="2" s="1"/>
  <c r="C174" i="2" s="1"/>
  <c r="G174" i="2" s="1"/>
  <c r="C175" i="2" s="1"/>
  <c r="G175" i="2" s="1"/>
  <c r="C176" i="2" s="1"/>
  <c r="G176" i="2" s="1"/>
  <c r="C177" i="2" s="1"/>
  <c r="G177" i="2" s="1"/>
  <c r="C178" i="2" s="1"/>
  <c r="G178" i="2" s="1"/>
  <c r="C179" i="2" s="1"/>
  <c r="G179" i="2" s="1"/>
  <c r="C180" i="2" s="1"/>
  <c r="G180" i="2" s="1"/>
  <c r="C181" i="2" s="1"/>
  <c r="G181" i="2" s="1"/>
  <c r="C182" i="2" s="1"/>
  <c r="G182" i="2" s="1"/>
  <c r="C183" i="2" s="1"/>
  <c r="G183" i="2" s="1"/>
  <c r="E18" i="3" l="1"/>
  <c r="C184" i="2"/>
  <c r="G184" i="2" s="1"/>
  <c r="C185" i="2" s="1"/>
  <c r="G185" i="2" s="1"/>
  <c r="C186" i="2" s="1"/>
  <c r="G186" i="2" s="1"/>
  <c r="C187" i="2" s="1"/>
  <c r="G187" i="2" s="1"/>
  <c r="C188" i="2" s="1"/>
  <c r="G188" i="2" s="1"/>
  <c r="C189" i="2" s="1"/>
  <c r="G189" i="2" s="1"/>
  <c r="C190" i="2" s="1"/>
  <c r="G190" i="2" s="1"/>
  <c r="C191" i="2" s="1"/>
  <c r="G191" i="2" s="1"/>
  <c r="C192" i="2" s="1"/>
  <c r="G192" i="2" s="1"/>
  <c r="C193" i="2" s="1"/>
  <c r="G193" i="2" s="1"/>
  <c r="C194" i="2" s="1"/>
  <c r="G194" i="2" s="1"/>
  <c r="C195" i="2" s="1"/>
  <c r="G195" i="2" s="1"/>
  <c r="E19" i="3" l="1"/>
  <c r="C196" i="2"/>
  <c r="G196" i="2" s="1"/>
  <c r="C197" i="2" s="1"/>
  <c r="G197" i="2" s="1"/>
  <c r="C198" i="2" s="1"/>
  <c r="G198" i="2" s="1"/>
  <c r="C199" i="2" s="1"/>
  <c r="G199" i="2" s="1"/>
  <c r="C200" i="2" s="1"/>
  <c r="G200" i="2" s="1"/>
  <c r="C201" i="2" s="1"/>
  <c r="G201" i="2" s="1"/>
  <c r="C202" i="2" s="1"/>
  <c r="G202" i="2" s="1"/>
  <c r="C203" i="2" s="1"/>
  <c r="G203" i="2" s="1"/>
  <c r="C204" i="2" s="1"/>
  <c r="G204" i="2" s="1"/>
  <c r="C205" i="2" s="1"/>
  <c r="G205" i="2" s="1"/>
  <c r="C206" i="2" s="1"/>
  <c r="G206" i="2" s="1"/>
  <c r="C207" i="2" s="1"/>
  <c r="G207" i="2" s="1"/>
  <c r="E20" i="3" l="1"/>
  <c r="C208" i="2"/>
  <c r="G208" i="2" s="1"/>
  <c r="C209" i="2" s="1"/>
  <c r="G209" i="2" s="1"/>
  <c r="C210" i="2" s="1"/>
  <c r="G210" i="2" s="1"/>
  <c r="C211" i="2" s="1"/>
  <c r="G211" i="2" s="1"/>
  <c r="C212" i="2" s="1"/>
  <c r="G212" i="2" s="1"/>
  <c r="C213" i="2" s="1"/>
  <c r="G213" i="2" s="1"/>
  <c r="C214" i="2" s="1"/>
  <c r="G214" i="2" s="1"/>
  <c r="C215" i="2" s="1"/>
  <c r="G215" i="2" s="1"/>
  <c r="C216" i="2" s="1"/>
  <c r="G216" i="2" s="1"/>
  <c r="C217" i="2" s="1"/>
  <c r="G217" i="2" s="1"/>
  <c r="C218" i="2" s="1"/>
  <c r="G218" i="2" s="1"/>
  <c r="C219" i="2" s="1"/>
  <c r="G219" i="2" s="1"/>
  <c r="E21" i="3" l="1"/>
  <c r="C220" i="2"/>
  <c r="G220" i="2" s="1"/>
  <c r="C221" i="2" s="1"/>
  <c r="G221" i="2" s="1"/>
  <c r="C222" i="2" s="1"/>
  <c r="G222" i="2" s="1"/>
  <c r="C223" i="2" s="1"/>
  <c r="G223" i="2" s="1"/>
  <c r="C224" i="2" s="1"/>
  <c r="G224" i="2" s="1"/>
  <c r="C225" i="2" s="1"/>
  <c r="G225" i="2" s="1"/>
  <c r="C226" i="2" s="1"/>
  <c r="G226" i="2" s="1"/>
  <c r="C227" i="2" s="1"/>
  <c r="G227" i="2" s="1"/>
  <c r="C228" i="2" s="1"/>
  <c r="G228" i="2" s="1"/>
  <c r="C229" i="2" s="1"/>
  <c r="G229" i="2" s="1"/>
  <c r="C230" i="2" s="1"/>
  <c r="G230" i="2" s="1"/>
  <c r="C231" i="2" s="1"/>
  <c r="G231" i="2" s="1"/>
  <c r="E22" i="3" l="1"/>
  <c r="C232" i="2"/>
  <c r="G232" i="2" s="1"/>
  <c r="C233" i="2" s="1"/>
  <c r="G233" i="2" s="1"/>
  <c r="C234" i="2" s="1"/>
  <c r="G234" i="2" s="1"/>
  <c r="C235" i="2" s="1"/>
  <c r="G235" i="2" s="1"/>
  <c r="C236" i="2" s="1"/>
  <c r="G236" i="2" s="1"/>
  <c r="C237" i="2" s="1"/>
  <c r="G237" i="2" s="1"/>
  <c r="C238" i="2" s="1"/>
  <c r="G238" i="2" s="1"/>
  <c r="C239" i="2" s="1"/>
  <c r="G239" i="2" s="1"/>
  <c r="C240" i="2" s="1"/>
  <c r="G240" i="2" s="1"/>
  <c r="C241" i="2" s="1"/>
  <c r="G241" i="2" s="1"/>
  <c r="C242" i="2" s="1"/>
  <c r="G242" i="2" s="1"/>
  <c r="C243" i="2" s="1"/>
  <c r="G243" i="2" s="1"/>
  <c r="E23" i="3" l="1"/>
</calcChain>
</file>

<file path=xl/sharedStrings.xml><?xml version="1.0" encoding="utf-8"?>
<sst xmlns="http://schemas.openxmlformats.org/spreadsheetml/2006/main" count="29" uniqueCount="29">
  <si>
    <t>Loan EMI &amp; Amortization Calculator</t>
  </si>
  <si>
    <t>Loan Inputs</t>
  </si>
  <si>
    <t>Loan Amount (₹)</t>
  </si>
  <si>
    <t>Annual Interest Rate (%)</t>
  </si>
  <si>
    <t>Loan Tenure (Years)</t>
  </si>
  <si>
    <t>Loan Start Date</t>
  </si>
  <si>
    <t>Calculated Results</t>
  </si>
  <si>
    <t>Monthly Interest Rate</t>
  </si>
  <si>
    <t>Total No. of Payments (Months)</t>
  </si>
  <si>
    <t>Monthly EMI (₹)</t>
  </si>
  <si>
    <t>Total Amount Payable (₹)</t>
  </si>
  <si>
    <t>Total Interest Payable (₹)</t>
  </si>
  <si>
    <t>Interest as % of Loan Amount</t>
  </si>
  <si>
    <t>Month-by-Month Amortization Schedule</t>
  </si>
  <si>
    <t>Month #</t>
  </si>
  <si>
    <t>Payment Date</t>
  </si>
  <si>
    <t>Opening Balance (₹)</t>
  </si>
  <si>
    <t>EMI (₹)</t>
  </si>
  <si>
    <t>Principal (₹)</t>
  </si>
  <si>
    <t>Interest (₹)</t>
  </si>
  <si>
    <t>Closing Balance (₹)</t>
  </si>
  <si>
    <t>Year-Wise Repayment Summary</t>
  </si>
  <si>
    <t>Loan Year</t>
  </si>
  <si>
    <t>Principal Paid (₹)</t>
  </si>
  <si>
    <t>Interest Paid (₹)</t>
  </si>
  <si>
    <t>Total Paid (₹)</t>
  </si>
  <si>
    <t>Year-End Balance (₹)</t>
  </si>
  <si>
    <t>EMI Sensitivity Grid — Interest Rate vs Tenure</t>
  </si>
  <si>
    <t>Rate ↓ / Tenure (Yrs)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</si>
</sst>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dd\-mmm\-yyyy"/>
    <numFmt numFmtId="166" formatCode="0.0000%"/>
  </numFmts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2"/>
      <color rgb="FF1F4E78"/>
      <name val="Cambria"/>
      <charset val="1"/>
    </font>
    <font>
      <b/>
      <sz val="11"/>
      <name val="Cambria"/>
      <charset val="1"/>
    </font>
    <font>
      <b/>
      <sz val="11"/>
      <color rgb="FFC00000"/>
      <name val="Cambria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64" fontId="3" fillId="3" borderId="0" xfId="0" applyNumberFormat="1" applyFont="1" applyFill="1"/>
    <xf numFmtId="0" fontId="6" fillId="4" borderId="0" xfId="0" applyFont="1" applyFill="1" applyAlignment="1">
      <alignment horizontal="center" wrapText="1"/>
    </xf>
    <xf numFmtId="165" fontId="0" fillId="0" borderId="0" xfId="0" applyNumberFormat="1"/>
    <xf numFmtId="164" fontId="0" fillId="0" borderId="0" xfId="0" applyNumberFormat="1"/>
    <xf numFmtId="0" fontId="7" fillId="4" borderId="0" xfId="0" applyFont="1" applyFill="1"/>
    <xf numFmtId="0" fontId="6" fillId="4" borderId="0" xfId="0" applyFont="1" applyFill="1" applyAlignment="1">
      <alignment horizontal="center"/>
    </xf>
    <xf numFmtId="10" fontId="7" fillId="4" borderId="0" xfId="0" applyNumberFormat="1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/>
    <xf numFmtId="164" fontId="4" fillId="2" borderId="1" xfId="0" applyNumberFormat="1" applyFont="1" applyFill="1" applyBorder="1"/>
    <xf numFmtId="10" fontId="4" fillId="2" borderId="1" xfId="0" applyNumberFormat="1" applyFont="1" applyFill="1" applyBorder="1"/>
    <xf numFmtId="1" fontId="4" fillId="2" borderId="1" xfId="0" applyNumberFormat="1" applyFont="1" applyFill="1" applyBorder="1"/>
    <xf numFmtId="165" fontId="4" fillId="2" borderId="1" xfId="0" applyNumberFormat="1" applyFont="1" applyFill="1" applyBorder="1"/>
    <xf numFmtId="0" fontId="3" fillId="0" borderId="1" xfId="0" applyFont="1" applyBorder="1"/>
    <xf numFmtId="166" fontId="3" fillId="3" borderId="1" xfId="0" applyNumberFormat="1" applyFont="1" applyFill="1" applyBorder="1"/>
    <xf numFmtId="1" fontId="3" fillId="3" borderId="1" xfId="0" applyNumberFormat="1" applyFont="1" applyFill="1" applyBorder="1"/>
    <xf numFmtId="164" fontId="3" fillId="3" borderId="1" xfId="0" applyNumberFormat="1" applyFont="1" applyFill="1" applyBorder="1"/>
    <xf numFmtId="9" fontId="3" fillId="3" borderId="1" xfId="0" applyNumberFormat="1" applyFont="1" applyFill="1" applyBorder="1"/>
    <xf numFmtId="0" fontId="5" fillId="0" borderId="0" xfId="0" applyFont="1" applyAlignme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Principal vs Interest by Loan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Yearly_Summary!$B$3</c:f>
              <c:strCache>
                <c:ptCount val="1"/>
                <c:pt idx="0">
                  <c:v>Principal Paid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Yearly_Summary!$A$4:$A$23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Yearly_Summary!$B$4:$B$23</c:f>
              <c:numCache>
                <c:formatCode>\₹#,##0</c:formatCode>
                <c:ptCount val="20"/>
                <c:pt idx="0">
                  <c:v>49755.729686724801</c:v>
                </c:pt>
                <c:pt idx="1">
                  <c:v>54153.683707083488</c:v>
                </c:pt>
                <c:pt idx="2">
                  <c:v>58940.376867375824</c:v>
                </c:pt>
                <c:pt idx="3">
                  <c:v>64150.170172336497</c:v>
                </c:pt>
                <c:pt idx="4">
                  <c:v>69820.461827036008</c:v>
                </c:pt>
                <c:pt idx="5">
                  <c:v>75991.955697769881</c:v>
                </c:pt>
                <c:pt idx="6">
                  <c:v>82708.953502448756</c:v>
                </c:pt>
                <c:pt idx="7">
                  <c:v>90019.672827962058</c:v>
                </c:pt>
                <c:pt idx="8">
                  <c:v>97976.593257384258</c:v>
                </c:pt>
                <c:pt idx="9">
                  <c:v>106636.83309167868</c:v>
                </c:pt>
                <c:pt idx="10">
                  <c:v>116062.5593701739</c:v>
                </c:pt>
                <c:pt idx="11">
                  <c:v>126321.43413312131</c:v>
                </c:pt>
                <c:pt idx="12">
                  <c:v>137487.10012980475</c:v>
                </c:pt>
                <c:pt idx="13">
                  <c:v>149639.7094588296</c:v>
                </c:pt>
                <c:pt idx="14">
                  <c:v>162866.49893540627</c:v>
                </c:pt>
                <c:pt idx="15">
                  <c:v>177262.41631586873</c:v>
                </c:pt>
                <c:pt idx="16">
                  <c:v>192930.80187474581</c:v>
                </c:pt>
                <c:pt idx="17">
                  <c:v>209984.13022704711</c:v>
                </c:pt>
                <c:pt idx="18">
                  <c:v>228544.8177208929</c:v>
                </c:pt>
                <c:pt idx="19">
                  <c:v>248746.10119630976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B-4E85-880E-0912D9D07962}"/>
            </c:ext>
          </c:extLst>
        </c:ser>
        <c:ser>
          <c:idx val="1"/>
          <c:order val="1"/>
          <c:tx>
            <c:strRef>
              <c:f>Yearly_Summary!$C$3</c:f>
              <c:strCache>
                <c:ptCount val="1"/>
                <c:pt idx="0">
                  <c:v>Interest Paid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Yearly_Summary!$A$4:$A$23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Yearly_Summary!$C$4:$C$23</c:f>
              <c:numCache>
                <c:formatCode>\₹#,##0</c:formatCode>
                <c:ptCount val="20"/>
                <c:pt idx="0">
                  <c:v>210591.24032293539</c:v>
                </c:pt>
                <c:pt idx="1">
                  <c:v>206193.28630257669</c:v>
                </c:pt>
                <c:pt idx="2">
                  <c:v>201406.59314228434</c:v>
                </c:pt>
                <c:pt idx="3">
                  <c:v>196196.79983732369</c:v>
                </c:pt>
                <c:pt idx="4">
                  <c:v>190526.50818262421</c:v>
                </c:pt>
                <c:pt idx="5">
                  <c:v>184355.01431189029</c:v>
                </c:pt>
                <c:pt idx="6">
                  <c:v>177638.01650721146</c:v>
                </c:pt>
                <c:pt idx="7">
                  <c:v>170327.29718169814</c:v>
                </c:pt>
                <c:pt idx="8">
                  <c:v>162370.37675227594</c:v>
                </c:pt>
                <c:pt idx="9">
                  <c:v>153710.13691798152</c:v>
                </c:pt>
                <c:pt idx="10">
                  <c:v>144284.41063948628</c:v>
                </c:pt>
                <c:pt idx="11">
                  <c:v>134025.5358765389</c:v>
                </c:pt>
                <c:pt idx="12">
                  <c:v>122859.86987985543</c:v>
                </c:pt>
                <c:pt idx="13">
                  <c:v>110707.26055083056</c:v>
                </c:pt>
                <c:pt idx="14">
                  <c:v>97480.471074253903</c:v>
                </c:pt>
                <c:pt idx="15">
                  <c:v>83084.553693791444</c:v>
                </c:pt>
                <c:pt idx="16">
                  <c:v>67416.168134914376</c:v>
                </c:pt>
                <c:pt idx="17">
                  <c:v>50362.839782613082</c:v>
                </c:pt>
                <c:pt idx="18">
                  <c:v>31802.15228876732</c:v>
                </c:pt>
                <c:pt idx="19">
                  <c:v>11600.868813350422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8B-4E85-880E-0912D9D07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46585"/>
        <c:axId val="36495005"/>
      </c:barChart>
      <c:catAx>
        <c:axId val="38646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Loan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495005"/>
        <c:crosses val="autoZero"/>
        <c:auto val="1"/>
        <c:lblAlgn val="ctr"/>
        <c:lblOffset val="100"/>
        <c:noMultiLvlLbl val="0"/>
      </c:catAx>
      <c:valAx>
        <c:axId val="36495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46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Outstanding Loan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59001204295147"/>
          <c:y val="0.34084881389814914"/>
          <c:w val="0.79774331620010797"/>
          <c:h val="0.42084365393524248"/>
        </c:manualLayout>
      </c:layout>
      <c:lineChart>
        <c:grouping val="standard"/>
        <c:varyColors val="0"/>
        <c:ser>
          <c:idx val="0"/>
          <c:order val="0"/>
          <c:tx>
            <c:strRef>
              <c:f>Yearly_Summary!$E$3</c:f>
              <c:strCache>
                <c:ptCount val="1"/>
                <c:pt idx="0">
                  <c:v>Year-End Balance (₹)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Yearly_Summary!$A$4:$A$23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Yearly_Summary!$E$4:$E$23</c:f>
              <c:numCache>
                <c:formatCode>\₹#,##0</c:formatCode>
                <c:ptCount val="20"/>
                <c:pt idx="0">
                  <c:v>2450244.270313275</c:v>
                </c:pt>
                <c:pt idx="1">
                  <c:v>2396090.5866061915</c:v>
                </c:pt>
                <c:pt idx="2">
                  <c:v>2337150.2097388147</c:v>
                </c:pt>
                <c:pt idx="3">
                  <c:v>2273000.0395664782</c:v>
                </c:pt>
                <c:pt idx="4">
                  <c:v>2203179.5777394427</c:v>
                </c:pt>
                <c:pt idx="5">
                  <c:v>2127187.6220416734</c:v>
                </c:pt>
                <c:pt idx="6">
                  <c:v>2044478.6685392244</c:v>
                </c:pt>
                <c:pt idx="7">
                  <c:v>1954458.9957112623</c:v>
                </c:pt>
                <c:pt idx="8">
                  <c:v>1856482.4024538784</c:v>
                </c:pt>
                <c:pt idx="9">
                  <c:v>1749845.5693622003</c:v>
                </c:pt>
                <c:pt idx="10">
                  <c:v>1633783.009992026</c:v>
                </c:pt>
                <c:pt idx="11">
                  <c:v>1507461.575858904</c:v>
                </c:pt>
                <c:pt idx="12">
                  <c:v>1369974.4757290997</c:v>
                </c:pt>
                <c:pt idx="13">
                  <c:v>1220334.7662702701</c:v>
                </c:pt>
                <c:pt idx="14">
                  <c:v>1057468.2673348635</c:v>
                </c:pt>
                <c:pt idx="15">
                  <c:v>880205.85101899481</c:v>
                </c:pt>
                <c:pt idx="16">
                  <c:v>687275.04914424918</c:v>
                </c:pt>
                <c:pt idx="17">
                  <c:v>477290.91891720181</c:v>
                </c:pt>
                <c:pt idx="18">
                  <c:v>248746.10119630897</c:v>
                </c:pt>
                <c:pt idx="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4-4A8F-838C-EF7B6822C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892643"/>
        <c:axId val="7339172"/>
      </c:lineChart>
      <c:catAx>
        <c:axId val="12892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Loan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9172"/>
        <c:crosses val="autoZero"/>
        <c:auto val="1"/>
        <c:lblAlgn val="ctr"/>
        <c:lblOffset val="100"/>
        <c:tickLblSkip val="1"/>
        <c:noMultiLvlLbl val="0"/>
      </c:catAx>
      <c:valAx>
        <c:axId val="7339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Balance (₹)</a:t>
                </a:r>
              </a:p>
            </c:rich>
          </c:tx>
          <c:layout>
            <c:manualLayout>
              <c:xMode val="edge"/>
              <c:yMode val="edge"/>
              <c:x val="0"/>
              <c:y val="0.41741260312826806"/>
            </c:manualLayout>
          </c:layout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92643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9526</xdr:colOff>
      <xdr:row>1</xdr:row>
      <xdr:rowOff>187217</xdr:rowOff>
    </xdr:from>
    <xdr:to>
      <xdr:col>16</xdr:col>
      <xdr:colOff>9525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1841</xdr:rowOff>
    </xdr:from>
    <xdr:to>
      <xdr:col>16</xdr:col>
      <xdr:colOff>9524</xdr:colOff>
      <xdr:row>26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ortizationSchedule" displayName="AmortizationSchedule" ref="A3:G243" totalsRowShown="0">
  <autoFilter ref="A3:G243" xr:uid="{00000000-0009-0000-0100-000001000000}"/>
  <tableColumns count="7">
    <tableColumn id="1" xr3:uid="{00000000-0010-0000-0000-000001000000}" name="Month #"/>
    <tableColumn id="2" xr3:uid="{00000000-0010-0000-0000-000002000000}" name="Payment Date"/>
    <tableColumn id="3" xr3:uid="{00000000-0010-0000-0000-000003000000}" name="Opening Balance (₹)"/>
    <tableColumn id="4" xr3:uid="{00000000-0010-0000-0000-000004000000}" name="EMI (₹)"/>
    <tableColumn id="5" xr3:uid="{00000000-0010-0000-0000-000005000000}" name="Principal (₹)"/>
    <tableColumn id="6" xr3:uid="{00000000-0010-0000-0000-000006000000}" name="Interest (₹)"/>
    <tableColumn id="7" xr3:uid="{00000000-0010-0000-0000-000007000000}" name="Closing Balance (₹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earlySummary" displayName="YearlySummary" ref="A3:E23" totalsRowShown="0">
  <autoFilter ref="A3:E23" xr:uid="{00000000-0009-0000-0100-000002000000}"/>
  <tableColumns count="5">
    <tableColumn id="1" xr3:uid="{00000000-0010-0000-0100-000001000000}" name="Loan Year"/>
    <tableColumn id="2" xr3:uid="{00000000-0010-0000-0100-000002000000}" name="Principal Paid (₹)"/>
    <tableColumn id="3" xr3:uid="{00000000-0010-0000-0100-000003000000}" name="Interest Paid (₹)"/>
    <tableColumn id="4" xr3:uid="{00000000-0010-0000-0100-000004000000}" name="Total Paid (₹)"/>
    <tableColumn id="5" xr3:uid="{00000000-0010-0000-0100-000005000000}" name="Year-End Balance (₹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Normal="100" workbookViewId="0">
      <selection activeCell="B26" sqref="B26"/>
    </sheetView>
  </sheetViews>
  <sheetFormatPr defaultColWidth="8.7109375" defaultRowHeight="15" x14ac:dyDescent="0.25"/>
  <cols>
    <col min="1" max="1" width="30" customWidth="1"/>
    <col min="2" max="2" width="9.28515625" customWidth="1"/>
    <col min="3" max="3" width="10" customWidth="1"/>
    <col min="4" max="4" width="9.85546875" customWidth="1"/>
  </cols>
  <sheetData>
    <row r="1" spans="1:4" ht="20.25" customHeight="1" x14ac:dyDescent="0.25">
      <c r="A1" s="9" t="s">
        <v>0</v>
      </c>
      <c r="B1" s="9"/>
      <c r="C1" s="9"/>
      <c r="D1" s="9"/>
    </row>
    <row r="2" spans="1:4" x14ac:dyDescent="0.25">
      <c r="A2" s="9"/>
      <c r="B2" s="9"/>
      <c r="C2" s="9"/>
      <c r="D2" s="9"/>
    </row>
    <row r="3" spans="1:4" ht="15.75" x14ac:dyDescent="0.25">
      <c r="A3" s="1" t="s">
        <v>1</v>
      </c>
      <c r="B3" s="10"/>
      <c r="C3" s="10"/>
      <c r="D3" s="10"/>
    </row>
    <row r="4" spans="1:4" x14ac:dyDescent="0.25">
      <c r="A4" s="11" t="s">
        <v>2</v>
      </c>
      <c r="B4" s="12">
        <v>2500000</v>
      </c>
      <c r="C4" s="12"/>
      <c r="D4" s="12"/>
    </row>
    <row r="5" spans="1:4" x14ac:dyDescent="0.25">
      <c r="A5" s="11" t="s">
        <v>3</v>
      </c>
      <c r="B5" s="13">
        <v>8.5000000000000006E-2</v>
      </c>
      <c r="C5" s="13"/>
      <c r="D5" s="13"/>
    </row>
    <row r="6" spans="1:4" x14ac:dyDescent="0.25">
      <c r="A6" s="11" t="s">
        <v>4</v>
      </c>
      <c r="B6" s="14">
        <v>20</v>
      </c>
      <c r="C6" s="14"/>
      <c r="D6" s="14"/>
    </row>
    <row r="7" spans="1:4" x14ac:dyDescent="0.25">
      <c r="A7" s="11" t="s">
        <v>5</v>
      </c>
      <c r="B7" s="15">
        <v>46235</v>
      </c>
      <c r="C7" s="15"/>
      <c r="D7" s="15"/>
    </row>
    <row r="9" spans="1:4" ht="15.75" x14ac:dyDescent="0.25">
      <c r="A9" s="1" t="s">
        <v>6</v>
      </c>
    </row>
    <row r="10" spans="1:4" x14ac:dyDescent="0.25">
      <c r="A10" s="16" t="s">
        <v>7</v>
      </c>
      <c r="B10" s="16"/>
      <c r="C10" s="17">
        <f>$B$5/12</f>
        <v>7.0833333333333338E-3</v>
      </c>
      <c r="D10" s="17"/>
    </row>
    <row r="11" spans="1:4" x14ac:dyDescent="0.25">
      <c r="A11" s="16" t="s">
        <v>8</v>
      </c>
      <c r="B11" s="16"/>
      <c r="C11" s="18">
        <f>$B$6*12</f>
        <v>240</v>
      </c>
      <c r="D11" s="18"/>
    </row>
    <row r="12" spans="1:4" x14ac:dyDescent="0.25">
      <c r="A12" s="16" t="s">
        <v>9</v>
      </c>
      <c r="B12" s="16"/>
      <c r="C12" s="19">
        <f>-PMT($C$10,$C$11,$B$4)</f>
        <v>21695.580834138349</v>
      </c>
      <c r="D12" s="19"/>
    </row>
    <row r="13" spans="1:4" x14ac:dyDescent="0.25">
      <c r="A13" s="16" t="s">
        <v>10</v>
      </c>
      <c r="B13" s="16"/>
      <c r="C13" s="19">
        <f>$C$12*$C$11</f>
        <v>5206939.4001932042</v>
      </c>
      <c r="D13" s="19"/>
    </row>
    <row r="14" spans="1:4" x14ac:dyDescent="0.25">
      <c r="A14" s="16" t="s">
        <v>11</v>
      </c>
      <c r="B14" s="16"/>
      <c r="C14" s="19">
        <f>C13-B4</f>
        <v>2706939.4001932042</v>
      </c>
      <c r="D14" s="19"/>
    </row>
    <row r="15" spans="1:4" x14ac:dyDescent="0.25">
      <c r="A15" s="16" t="s">
        <v>12</v>
      </c>
      <c r="B15" s="16"/>
      <c r="C15" s="20">
        <f>C14/B4</f>
        <v>1.0827757600772816</v>
      </c>
      <c r="D15" s="20"/>
    </row>
  </sheetData>
  <mergeCells count="18">
    <mergeCell ref="C12:D12"/>
    <mergeCell ref="C13:D13"/>
    <mergeCell ref="C14:D14"/>
    <mergeCell ref="C15:D15"/>
    <mergeCell ref="A10:B10"/>
    <mergeCell ref="A11:B11"/>
    <mergeCell ref="A12:B12"/>
    <mergeCell ref="A13:B13"/>
    <mergeCell ref="A14:B14"/>
    <mergeCell ref="A15:B15"/>
    <mergeCell ref="B5:D5"/>
    <mergeCell ref="B6:D6"/>
    <mergeCell ref="B7:D7"/>
    <mergeCell ref="C10:D10"/>
    <mergeCell ref="C11:D11"/>
    <mergeCell ref="A1:D2"/>
    <mergeCell ref="B3:D3"/>
    <mergeCell ref="B4:D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3"/>
  <sheetViews>
    <sheetView zoomScaleNormal="100" workbookViewId="0">
      <pane ySplit="3" topLeftCell="A4" activePane="bottomLeft" state="frozen"/>
      <selection pane="bottomLeft" activeCell="D25" sqref="D25"/>
    </sheetView>
  </sheetViews>
  <sheetFormatPr defaultColWidth="8.7109375" defaultRowHeight="15" x14ac:dyDescent="0.25"/>
  <cols>
    <col min="1" max="1" width="10" customWidth="1"/>
    <col min="2" max="2" width="15" customWidth="1"/>
    <col min="3" max="3" width="20" customWidth="1"/>
    <col min="4" max="4" width="14" customWidth="1"/>
    <col min="5" max="6" width="16" customWidth="1"/>
    <col min="7" max="7" width="20" customWidth="1"/>
  </cols>
  <sheetData>
    <row r="1" spans="1:7" ht="18" customHeight="1" x14ac:dyDescent="0.25">
      <c r="A1" s="22" t="s">
        <v>13</v>
      </c>
      <c r="B1" s="22"/>
      <c r="C1" s="22"/>
      <c r="D1" s="22"/>
      <c r="E1" s="22"/>
      <c r="F1" s="22"/>
      <c r="G1" s="22"/>
    </row>
    <row r="2" spans="1:7" x14ac:dyDescent="0.25">
      <c r="A2" s="22"/>
      <c r="B2" s="22"/>
      <c r="C2" s="22"/>
      <c r="D2" s="22"/>
      <c r="E2" s="22"/>
      <c r="F2" s="22"/>
      <c r="G2" s="22"/>
    </row>
    <row r="3" spans="1:7" ht="30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x14ac:dyDescent="0.25">
      <c r="A4">
        <v>1</v>
      </c>
      <c r="B4" s="4">
        <f>Loan_Calculator!$B$7</f>
        <v>46235</v>
      </c>
      <c r="C4" s="5">
        <f>Loan_Calculator!$B$4</f>
        <v>2500000</v>
      </c>
      <c r="D4" s="5">
        <f>IF(A4&lt;=Loan_Calculator!$C$11,Loan_Calculator!$C$12,0)</f>
        <v>21695.580834138349</v>
      </c>
      <c r="E4" s="5">
        <f>IF(A4&lt;=Loan_Calculator!$C$11,-PPMT(Loan_Calculator!$C$10,A4,Loan_Calculator!$C$11,Loan_Calculator!$B$4),0)</f>
        <v>3987.2475008050146</v>
      </c>
      <c r="F4" s="5">
        <f>IF(A4&lt;=Loan_Calculator!$C$11,-IPMT(Loan_Calculator!$C$10,A4,Loan_Calculator!$C$11,Loan_Calculator!$B$4),0)</f>
        <v>17708.333333333336</v>
      </c>
      <c r="G4" s="5">
        <f t="shared" ref="G4:G67" si="0">MAX(0,C4-E4)</f>
        <v>2496012.7524991948</v>
      </c>
    </row>
    <row r="5" spans="1:7" x14ac:dyDescent="0.25">
      <c r="A5">
        <v>2</v>
      </c>
      <c r="B5" s="4">
        <f t="shared" ref="B5:B68" si="1">EDATE(B4,1)</f>
        <v>46266</v>
      </c>
      <c r="C5" s="5">
        <f t="shared" ref="C5:C68" si="2">G4</f>
        <v>2496012.7524991948</v>
      </c>
      <c r="D5" s="5">
        <f>IF(A5&lt;=Loan_Calculator!$C$11,Loan_Calculator!$C$12,0)</f>
        <v>21695.580834138349</v>
      </c>
      <c r="E5" s="5">
        <f>IF(A5&lt;=Loan_Calculator!$C$11,-PPMT(Loan_Calculator!$C$10,A5,Loan_Calculator!$C$11,Loan_Calculator!$B$4),0)</f>
        <v>4015.4905039357163</v>
      </c>
      <c r="F5" s="5">
        <f>IF(A5&lt;=Loan_Calculator!$C$11,-IPMT(Loan_Calculator!$C$10,A5,Loan_Calculator!$C$11,Loan_Calculator!$B$4),0)</f>
        <v>17680.090330202631</v>
      </c>
      <c r="G5" s="5">
        <f t="shared" si="0"/>
        <v>2491997.2619952592</v>
      </c>
    </row>
    <row r="6" spans="1:7" x14ac:dyDescent="0.25">
      <c r="A6">
        <v>3</v>
      </c>
      <c r="B6" s="4">
        <f t="shared" si="1"/>
        <v>46296</v>
      </c>
      <c r="C6" s="5">
        <f t="shared" si="2"/>
        <v>2491997.2619952592</v>
      </c>
      <c r="D6" s="5">
        <f>IF(A6&lt;=Loan_Calculator!$C$11,Loan_Calculator!$C$12,0)</f>
        <v>21695.580834138349</v>
      </c>
      <c r="E6" s="5">
        <f>IF(A6&lt;=Loan_Calculator!$C$11,-PPMT(Loan_Calculator!$C$10,A6,Loan_Calculator!$C$11,Loan_Calculator!$B$4),0)</f>
        <v>4043.9335616719277</v>
      </c>
      <c r="F6" s="5">
        <f>IF(A6&lt;=Loan_Calculator!$C$11,-IPMT(Loan_Calculator!$C$10,A6,Loan_Calculator!$C$11,Loan_Calculator!$B$4),0)</f>
        <v>17651.64727246642</v>
      </c>
      <c r="G6" s="5">
        <f t="shared" si="0"/>
        <v>2487953.3284335872</v>
      </c>
    </row>
    <row r="7" spans="1:7" x14ac:dyDescent="0.25">
      <c r="A7">
        <v>4</v>
      </c>
      <c r="B7" s="4">
        <f t="shared" si="1"/>
        <v>46327</v>
      </c>
      <c r="C7" s="5">
        <f t="shared" si="2"/>
        <v>2487953.3284335872</v>
      </c>
      <c r="D7" s="5">
        <f>IF(A7&lt;=Loan_Calculator!$C$11,Loan_Calculator!$C$12,0)</f>
        <v>21695.580834138349</v>
      </c>
      <c r="E7" s="5">
        <f>IF(A7&lt;=Loan_Calculator!$C$11,-PPMT(Loan_Calculator!$C$10,A7,Loan_Calculator!$C$11,Loan_Calculator!$B$4),0)</f>
        <v>4072.5780910671033</v>
      </c>
      <c r="F7" s="5">
        <f>IF(A7&lt;=Loan_Calculator!$C$11,-IPMT(Loan_Calculator!$C$10,A7,Loan_Calculator!$C$11,Loan_Calculator!$B$4),0)</f>
        <v>17623.002743071243</v>
      </c>
      <c r="G7" s="5">
        <f t="shared" si="0"/>
        <v>2483880.75034252</v>
      </c>
    </row>
    <row r="8" spans="1:7" x14ac:dyDescent="0.25">
      <c r="A8">
        <v>5</v>
      </c>
      <c r="B8" s="4">
        <f t="shared" si="1"/>
        <v>46357</v>
      </c>
      <c r="C8" s="5">
        <f t="shared" si="2"/>
        <v>2483880.75034252</v>
      </c>
      <c r="D8" s="5">
        <f>IF(A8&lt;=Loan_Calculator!$C$11,Loan_Calculator!$C$12,0)</f>
        <v>21695.580834138349</v>
      </c>
      <c r="E8" s="5">
        <f>IF(A8&lt;=Loan_Calculator!$C$11,-PPMT(Loan_Calculator!$C$10,A8,Loan_Calculator!$C$11,Loan_Calculator!$B$4),0)</f>
        <v>4101.4255192121627</v>
      </c>
      <c r="F8" s="5">
        <f>IF(A8&lt;=Loan_Calculator!$C$11,-IPMT(Loan_Calculator!$C$10,A8,Loan_Calculator!$C$11,Loan_Calculator!$B$4),0)</f>
        <v>17594.155314926189</v>
      </c>
      <c r="G8" s="5">
        <f t="shared" si="0"/>
        <v>2479779.3248233078</v>
      </c>
    </row>
    <row r="9" spans="1:7" x14ac:dyDescent="0.25">
      <c r="A9">
        <v>6</v>
      </c>
      <c r="B9" s="4">
        <f t="shared" si="1"/>
        <v>46388</v>
      </c>
      <c r="C9" s="5">
        <f t="shared" si="2"/>
        <v>2479779.3248233078</v>
      </c>
      <c r="D9" s="5">
        <f>IF(A9&lt;=Loan_Calculator!$C$11,Loan_Calculator!$C$12,0)</f>
        <v>21695.580834138349</v>
      </c>
      <c r="E9" s="5">
        <f>IF(A9&lt;=Loan_Calculator!$C$11,-PPMT(Loan_Calculator!$C$10,A9,Loan_Calculator!$C$11,Loan_Calculator!$B$4),0)</f>
        <v>4130.4772833065817</v>
      </c>
      <c r="F9" s="5">
        <f>IF(A9&lt;=Loan_Calculator!$C$11,-IPMT(Loan_Calculator!$C$10,A9,Loan_Calculator!$C$11,Loan_Calculator!$B$4),0)</f>
        <v>17565.103550831765</v>
      </c>
      <c r="G9" s="5">
        <f t="shared" si="0"/>
        <v>2475648.8475400014</v>
      </c>
    </row>
    <row r="10" spans="1:7" x14ac:dyDescent="0.25">
      <c r="A10">
        <v>7</v>
      </c>
      <c r="B10" s="4">
        <f t="shared" si="1"/>
        <v>46419</v>
      </c>
      <c r="C10" s="5">
        <f t="shared" si="2"/>
        <v>2475648.8475400014</v>
      </c>
      <c r="D10" s="5">
        <f>IF(A10&lt;=Loan_Calculator!$C$11,Loan_Calculator!$C$12,0)</f>
        <v>21695.580834138349</v>
      </c>
      <c r="E10" s="5">
        <f>IF(A10&lt;=Loan_Calculator!$C$11,-PPMT(Loan_Calculator!$C$10,A10,Loan_Calculator!$C$11,Loan_Calculator!$B$4),0)</f>
        <v>4159.7348307300026</v>
      </c>
      <c r="F10" s="5">
        <f>IF(A10&lt;=Loan_Calculator!$C$11,-IPMT(Loan_Calculator!$C$10,A10,Loan_Calculator!$C$11,Loan_Calculator!$B$4),0)</f>
        <v>17535.846003408344</v>
      </c>
      <c r="G10" s="5">
        <f t="shared" si="0"/>
        <v>2471489.1127092713</v>
      </c>
    </row>
    <row r="11" spans="1:7" x14ac:dyDescent="0.25">
      <c r="A11">
        <v>8</v>
      </c>
      <c r="B11" s="4">
        <f t="shared" si="1"/>
        <v>46447</v>
      </c>
      <c r="C11" s="5">
        <f t="shared" si="2"/>
        <v>2471489.1127092713</v>
      </c>
      <c r="D11" s="5">
        <f>IF(A11&lt;=Loan_Calculator!$C$11,Loan_Calculator!$C$12,0)</f>
        <v>21695.580834138349</v>
      </c>
      <c r="E11" s="5">
        <f>IF(A11&lt;=Loan_Calculator!$C$11,-PPMT(Loan_Calculator!$C$10,A11,Loan_Calculator!$C$11,Loan_Calculator!$B$4),0)</f>
        <v>4189.1996191143407</v>
      </c>
      <c r="F11" s="5">
        <f>IF(A11&lt;=Loan_Calculator!$C$11,-IPMT(Loan_Calculator!$C$10,A11,Loan_Calculator!$C$11,Loan_Calculator!$B$4),0)</f>
        <v>17506.381215024005</v>
      </c>
      <c r="G11" s="5">
        <f t="shared" si="0"/>
        <v>2467299.9130901569</v>
      </c>
    </row>
    <row r="12" spans="1:7" x14ac:dyDescent="0.25">
      <c r="A12">
        <v>9</v>
      </c>
      <c r="B12" s="4">
        <f t="shared" si="1"/>
        <v>46478</v>
      </c>
      <c r="C12" s="5">
        <f t="shared" si="2"/>
        <v>2467299.9130901569</v>
      </c>
      <c r="D12" s="5">
        <f>IF(A12&lt;=Loan_Calculator!$C$11,Loan_Calculator!$C$12,0)</f>
        <v>21695.580834138349</v>
      </c>
      <c r="E12" s="5">
        <f>IF(A12&lt;=Loan_Calculator!$C$11,-PPMT(Loan_Calculator!$C$10,A12,Loan_Calculator!$C$11,Loan_Calculator!$B$4),0)</f>
        <v>4218.873116416401</v>
      </c>
      <c r="F12" s="5">
        <f>IF(A12&lt;=Loan_Calculator!$C$11,-IPMT(Loan_Calculator!$C$10,A12,Loan_Calculator!$C$11,Loan_Calculator!$B$4),0)</f>
        <v>17476.707717721947</v>
      </c>
      <c r="G12" s="5">
        <f t="shared" si="0"/>
        <v>2463081.0399737405</v>
      </c>
    </row>
    <row r="13" spans="1:7" x14ac:dyDescent="0.25">
      <c r="A13">
        <v>10</v>
      </c>
      <c r="B13" s="4">
        <f t="shared" si="1"/>
        <v>46508</v>
      </c>
      <c r="C13" s="5">
        <f t="shared" si="2"/>
        <v>2463081.0399737405</v>
      </c>
      <c r="D13" s="5">
        <f>IF(A13&lt;=Loan_Calculator!$C$11,Loan_Calculator!$C$12,0)</f>
        <v>21695.580834138349</v>
      </c>
      <c r="E13" s="5">
        <f>IF(A13&lt;=Loan_Calculator!$C$11,-PPMT(Loan_Calculator!$C$10,A13,Loan_Calculator!$C$11,Loan_Calculator!$B$4),0)</f>
        <v>4248.7568009910174</v>
      </c>
      <c r="F13" s="5">
        <f>IF(A13&lt;=Loan_Calculator!$C$11,-IPMT(Loan_Calculator!$C$10,A13,Loan_Calculator!$C$11,Loan_Calculator!$B$4),0)</f>
        <v>17446.824033147328</v>
      </c>
      <c r="G13" s="5">
        <f t="shared" si="0"/>
        <v>2458832.2831727494</v>
      </c>
    </row>
    <row r="14" spans="1:7" x14ac:dyDescent="0.25">
      <c r="A14">
        <v>11</v>
      </c>
      <c r="B14" s="4">
        <f t="shared" si="1"/>
        <v>46539</v>
      </c>
      <c r="C14" s="5">
        <f t="shared" si="2"/>
        <v>2458832.2831727494</v>
      </c>
      <c r="D14" s="5">
        <f>IF(A14&lt;=Loan_Calculator!$C$11,Loan_Calculator!$C$12,0)</f>
        <v>21695.580834138349</v>
      </c>
      <c r="E14" s="5">
        <f>IF(A14&lt;=Loan_Calculator!$C$11,-PPMT(Loan_Calculator!$C$10,A14,Loan_Calculator!$C$11,Loan_Calculator!$B$4),0)</f>
        <v>4278.852161664704</v>
      </c>
      <c r="F14" s="5">
        <f>IF(A14&lt;=Loan_Calculator!$C$11,-IPMT(Loan_Calculator!$C$10,A14,Loan_Calculator!$C$11,Loan_Calculator!$B$4),0)</f>
        <v>17416.728672473644</v>
      </c>
      <c r="G14" s="5">
        <f t="shared" si="0"/>
        <v>2454553.4310110849</v>
      </c>
    </row>
    <row r="15" spans="1:7" x14ac:dyDescent="0.25">
      <c r="A15">
        <v>12</v>
      </c>
      <c r="B15" s="4">
        <f t="shared" si="1"/>
        <v>46569</v>
      </c>
      <c r="C15" s="5">
        <f t="shared" si="2"/>
        <v>2454553.4310110849</v>
      </c>
      <c r="D15" s="5">
        <f>IF(A15&lt;=Loan_Calculator!$C$11,Loan_Calculator!$C$12,0)</f>
        <v>21695.580834138349</v>
      </c>
      <c r="E15" s="5">
        <f>IF(A15&lt;=Loan_Calculator!$C$11,-PPMT(Loan_Calculator!$C$10,A15,Loan_Calculator!$C$11,Loan_Calculator!$B$4),0)</f>
        <v>4309.1606978098289</v>
      </c>
      <c r="F15" s="5">
        <f>IF(A15&lt;=Loan_Calculator!$C$11,-IPMT(Loan_Calculator!$C$10,A15,Loan_Calculator!$C$11,Loan_Calculator!$B$4),0)</f>
        <v>17386.420136328521</v>
      </c>
      <c r="G15" s="5">
        <f t="shared" si="0"/>
        <v>2450244.270313275</v>
      </c>
    </row>
    <row r="16" spans="1:7" x14ac:dyDescent="0.25">
      <c r="A16">
        <v>13</v>
      </c>
      <c r="B16" s="4">
        <f t="shared" si="1"/>
        <v>46600</v>
      </c>
      <c r="C16" s="5">
        <f t="shared" si="2"/>
        <v>2450244.270313275</v>
      </c>
      <c r="D16" s="5">
        <f>IF(A16&lt;=Loan_Calculator!$C$11,Loan_Calculator!$C$12,0)</f>
        <v>21695.580834138349</v>
      </c>
      <c r="E16" s="5">
        <f>IF(A16&lt;=Loan_Calculator!$C$11,-PPMT(Loan_Calculator!$C$10,A16,Loan_Calculator!$C$11,Loan_Calculator!$B$4),0)</f>
        <v>4339.6839194193153</v>
      </c>
      <c r="F16" s="5">
        <f>IF(A16&lt;=Loan_Calculator!$C$11,-IPMT(Loan_Calculator!$C$10,A16,Loan_Calculator!$C$11,Loan_Calculator!$B$4),0)</f>
        <v>17355.896914719033</v>
      </c>
      <c r="G16" s="5">
        <f t="shared" si="0"/>
        <v>2445904.5863938555</v>
      </c>
    </row>
    <row r="17" spans="1:7" x14ac:dyDescent="0.25">
      <c r="A17">
        <v>14</v>
      </c>
      <c r="B17" s="4">
        <f t="shared" si="1"/>
        <v>46631</v>
      </c>
      <c r="C17" s="5">
        <f t="shared" si="2"/>
        <v>2445904.5863938555</v>
      </c>
      <c r="D17" s="5">
        <f>IF(A17&lt;=Loan_Calculator!$C$11,Loan_Calculator!$C$12,0)</f>
        <v>21695.580834138349</v>
      </c>
      <c r="E17" s="5">
        <f>IF(A17&lt;=Loan_Calculator!$C$11,-PPMT(Loan_Calculator!$C$10,A17,Loan_Calculator!$C$11,Loan_Calculator!$B$4),0)</f>
        <v>4370.4233471818679</v>
      </c>
      <c r="F17" s="5">
        <f>IF(A17&lt;=Loan_Calculator!$C$11,-IPMT(Loan_Calculator!$C$10,A17,Loan_Calculator!$C$11,Loan_Calculator!$B$4),0)</f>
        <v>17325.157486956483</v>
      </c>
      <c r="G17" s="5">
        <f t="shared" si="0"/>
        <v>2441534.1630466739</v>
      </c>
    </row>
    <row r="18" spans="1:7" x14ac:dyDescent="0.25">
      <c r="A18">
        <v>15</v>
      </c>
      <c r="B18" s="4">
        <f t="shared" si="1"/>
        <v>46661</v>
      </c>
      <c r="C18" s="5">
        <f t="shared" si="2"/>
        <v>2441534.1630466739</v>
      </c>
      <c r="D18" s="5">
        <f>IF(A18&lt;=Loan_Calculator!$C$11,Loan_Calculator!$C$12,0)</f>
        <v>21695.580834138349</v>
      </c>
      <c r="E18" s="5">
        <f>IF(A18&lt;=Loan_Calculator!$C$11,-PPMT(Loan_Calculator!$C$10,A18,Loan_Calculator!$C$11,Loan_Calculator!$B$4),0)</f>
        <v>4401.3805125577392</v>
      </c>
      <c r="F18" s="5">
        <f>IF(A18&lt;=Loan_Calculator!$C$11,-IPMT(Loan_Calculator!$C$10,A18,Loan_Calculator!$C$11,Loan_Calculator!$B$4),0)</f>
        <v>17294.200321580607</v>
      </c>
      <c r="G18" s="5">
        <f t="shared" si="0"/>
        <v>2437132.7825341159</v>
      </c>
    </row>
    <row r="19" spans="1:7" x14ac:dyDescent="0.25">
      <c r="A19">
        <v>16</v>
      </c>
      <c r="B19" s="4">
        <f t="shared" si="1"/>
        <v>46692</v>
      </c>
      <c r="C19" s="5">
        <f t="shared" si="2"/>
        <v>2437132.7825341159</v>
      </c>
      <c r="D19" s="5">
        <f>IF(A19&lt;=Loan_Calculator!$C$11,Loan_Calculator!$C$12,0)</f>
        <v>21695.580834138349</v>
      </c>
      <c r="E19" s="5">
        <f>IF(A19&lt;=Loan_Calculator!$C$11,-PPMT(Loan_Calculator!$C$10,A19,Loan_Calculator!$C$11,Loan_Calculator!$B$4),0)</f>
        <v>4432.5569578550239</v>
      </c>
      <c r="F19" s="5">
        <f>IF(A19&lt;=Loan_Calculator!$C$11,-IPMT(Loan_Calculator!$C$10,A19,Loan_Calculator!$C$11,Loan_Calculator!$B$4),0)</f>
        <v>17263.023876283325</v>
      </c>
      <c r="G19" s="5">
        <f t="shared" si="0"/>
        <v>2432700.2255762611</v>
      </c>
    </row>
    <row r="20" spans="1:7" x14ac:dyDescent="0.25">
      <c r="A20">
        <v>17</v>
      </c>
      <c r="B20" s="4">
        <f t="shared" si="1"/>
        <v>46722</v>
      </c>
      <c r="C20" s="5">
        <f t="shared" si="2"/>
        <v>2432700.2255762611</v>
      </c>
      <c r="D20" s="5">
        <f>IF(A20&lt;=Loan_Calculator!$C$11,Loan_Calculator!$C$12,0)</f>
        <v>21695.580834138349</v>
      </c>
      <c r="E20" s="5">
        <f>IF(A20&lt;=Loan_Calculator!$C$11,-PPMT(Loan_Calculator!$C$10,A20,Loan_Calculator!$C$11,Loan_Calculator!$B$4),0)</f>
        <v>4463.9542363064966</v>
      </c>
      <c r="F20" s="5">
        <f>IF(A20&lt;=Loan_Calculator!$C$11,-IPMT(Loan_Calculator!$C$10,A20,Loan_Calculator!$C$11,Loan_Calculator!$B$4),0)</f>
        <v>17231.626597831852</v>
      </c>
      <c r="G20" s="5">
        <f t="shared" si="0"/>
        <v>2428236.2713399543</v>
      </c>
    </row>
    <row r="21" spans="1:7" x14ac:dyDescent="0.25">
      <c r="A21">
        <v>18</v>
      </c>
      <c r="B21" s="4">
        <f t="shared" si="1"/>
        <v>46753</v>
      </c>
      <c r="C21" s="5">
        <f t="shared" si="2"/>
        <v>2428236.2713399543</v>
      </c>
      <c r="D21" s="5">
        <f>IF(A21&lt;=Loan_Calculator!$C$11,Loan_Calculator!$C$12,0)</f>
        <v>21695.580834138349</v>
      </c>
      <c r="E21" s="5">
        <f>IF(A21&lt;=Loan_Calculator!$C$11,-PPMT(Loan_Calculator!$C$10,A21,Loan_Calculator!$C$11,Loan_Calculator!$B$4),0)</f>
        <v>4495.5739121470015</v>
      </c>
      <c r="F21" s="5">
        <f>IF(A21&lt;=Loan_Calculator!$C$11,-IPMT(Loan_Calculator!$C$10,A21,Loan_Calculator!$C$11,Loan_Calculator!$B$4),0)</f>
        <v>17200.006921991349</v>
      </c>
      <c r="G21" s="5">
        <f t="shared" si="0"/>
        <v>2423740.6974278074</v>
      </c>
    </row>
    <row r="22" spans="1:7" x14ac:dyDescent="0.25">
      <c r="A22">
        <v>19</v>
      </c>
      <c r="B22" s="4">
        <f t="shared" si="1"/>
        <v>46784</v>
      </c>
      <c r="C22" s="5">
        <f t="shared" si="2"/>
        <v>2423740.6974278074</v>
      </c>
      <c r="D22" s="5">
        <f>IF(A22&lt;=Loan_Calculator!$C$11,Loan_Calculator!$C$12,0)</f>
        <v>21695.580834138349</v>
      </c>
      <c r="E22" s="5">
        <f>IF(A22&lt;=Loan_Calculator!$C$11,-PPMT(Loan_Calculator!$C$10,A22,Loan_Calculator!$C$11,Loan_Calculator!$B$4),0)</f>
        <v>4527.4175606913759</v>
      </c>
      <c r="F22" s="5">
        <f>IF(A22&lt;=Loan_Calculator!$C$11,-IPMT(Loan_Calculator!$C$10,A22,Loan_Calculator!$C$11,Loan_Calculator!$B$4),0)</f>
        <v>17168.163273446975</v>
      </c>
      <c r="G22" s="5">
        <f t="shared" si="0"/>
        <v>2419213.2798671159</v>
      </c>
    </row>
    <row r="23" spans="1:7" x14ac:dyDescent="0.25">
      <c r="A23">
        <v>20</v>
      </c>
      <c r="B23" s="4">
        <f t="shared" si="1"/>
        <v>46813</v>
      </c>
      <c r="C23" s="5">
        <f t="shared" si="2"/>
        <v>2419213.2798671159</v>
      </c>
      <c r="D23" s="5">
        <f>IF(A23&lt;=Loan_Calculator!$C$11,Loan_Calculator!$C$12,0)</f>
        <v>21695.580834138349</v>
      </c>
      <c r="E23" s="5">
        <f>IF(A23&lt;=Loan_Calculator!$C$11,-PPMT(Loan_Calculator!$C$10,A23,Loan_Calculator!$C$11,Loan_Calculator!$B$4),0)</f>
        <v>4559.4867684129385</v>
      </c>
      <c r="F23" s="5">
        <f>IF(A23&lt;=Loan_Calculator!$C$11,-IPMT(Loan_Calculator!$C$10,A23,Loan_Calculator!$C$11,Loan_Calculator!$B$4),0)</f>
        <v>17136.09406572541</v>
      </c>
      <c r="G23" s="5">
        <f t="shared" si="0"/>
        <v>2414653.793098703</v>
      </c>
    </row>
    <row r="24" spans="1:7" x14ac:dyDescent="0.25">
      <c r="A24">
        <v>21</v>
      </c>
      <c r="B24" s="4">
        <f t="shared" si="1"/>
        <v>46844</v>
      </c>
      <c r="C24" s="5">
        <f t="shared" si="2"/>
        <v>2414653.793098703</v>
      </c>
      <c r="D24" s="5">
        <f>IF(A24&lt;=Loan_Calculator!$C$11,Loan_Calculator!$C$12,0)</f>
        <v>21695.580834138349</v>
      </c>
      <c r="E24" s="5">
        <f>IF(A24&lt;=Loan_Calculator!$C$11,-PPMT(Loan_Calculator!$C$10,A24,Loan_Calculator!$C$11,Loan_Calculator!$B$4),0)</f>
        <v>4591.7831330225326</v>
      </c>
      <c r="F24" s="5">
        <f>IF(A24&lt;=Loan_Calculator!$C$11,-IPMT(Loan_Calculator!$C$10,A24,Loan_Calculator!$C$11,Loan_Calculator!$B$4),0)</f>
        <v>17103.797701115815</v>
      </c>
      <c r="G24" s="5">
        <f t="shared" si="0"/>
        <v>2410062.0099656805</v>
      </c>
    </row>
    <row r="25" spans="1:7" x14ac:dyDescent="0.25">
      <c r="A25">
        <v>22</v>
      </c>
      <c r="B25" s="4">
        <f t="shared" si="1"/>
        <v>46874</v>
      </c>
      <c r="C25" s="5">
        <f t="shared" si="2"/>
        <v>2410062.0099656805</v>
      </c>
      <c r="D25" s="5">
        <f>IF(A25&lt;=Loan_Calculator!$C$11,Loan_Calculator!$C$12,0)</f>
        <v>21695.580834138349</v>
      </c>
      <c r="E25" s="5">
        <f>IF(A25&lt;=Loan_Calculator!$C$11,-PPMT(Loan_Calculator!$C$10,A25,Loan_Calculator!$C$11,Loan_Calculator!$B$4),0)</f>
        <v>4624.3082635481078</v>
      </c>
      <c r="F25" s="5">
        <f>IF(A25&lt;=Loan_Calculator!$C$11,-IPMT(Loan_Calculator!$C$10,A25,Loan_Calculator!$C$11,Loan_Calculator!$B$4),0)</f>
        <v>17071.272570590241</v>
      </c>
      <c r="G25" s="5">
        <f t="shared" si="0"/>
        <v>2405437.7017021324</v>
      </c>
    </row>
    <row r="26" spans="1:7" x14ac:dyDescent="0.25">
      <c r="A26">
        <v>23</v>
      </c>
      <c r="B26" s="4">
        <f t="shared" si="1"/>
        <v>46905</v>
      </c>
      <c r="C26" s="5">
        <f t="shared" si="2"/>
        <v>2405437.7017021324</v>
      </c>
      <c r="D26" s="5">
        <f>IF(A26&lt;=Loan_Calculator!$C$11,Loan_Calculator!$C$12,0)</f>
        <v>21695.580834138349</v>
      </c>
      <c r="E26" s="5">
        <f>IF(A26&lt;=Loan_Calculator!$C$11,-PPMT(Loan_Calculator!$C$10,A26,Loan_Calculator!$C$11,Loan_Calculator!$B$4),0)</f>
        <v>4657.0637804149073</v>
      </c>
      <c r="F26" s="5">
        <f>IF(A26&lt;=Loan_Calculator!$C$11,-IPMT(Loan_Calculator!$C$10,A26,Loan_Calculator!$C$11,Loan_Calculator!$B$4),0)</f>
        <v>17038.517053723441</v>
      </c>
      <c r="G26" s="5">
        <f t="shared" si="0"/>
        <v>2400780.6379217175</v>
      </c>
    </row>
    <row r="27" spans="1:7" x14ac:dyDescent="0.25">
      <c r="A27">
        <v>24</v>
      </c>
      <c r="B27" s="4">
        <f t="shared" si="1"/>
        <v>46935</v>
      </c>
      <c r="C27" s="5">
        <f t="shared" si="2"/>
        <v>2400780.6379217175</v>
      </c>
      <c r="D27" s="5">
        <f>IF(A27&lt;=Loan_Calculator!$C$11,Loan_Calculator!$C$12,0)</f>
        <v>21695.580834138349</v>
      </c>
      <c r="E27" s="5">
        <f>IF(A27&lt;=Loan_Calculator!$C$11,-PPMT(Loan_Calculator!$C$10,A27,Loan_Calculator!$C$11,Loan_Calculator!$B$4),0)</f>
        <v>4690.0513155261788</v>
      </c>
      <c r="F27" s="5">
        <f>IF(A27&lt;=Loan_Calculator!$C$11,-IPMT(Loan_Calculator!$C$10,A27,Loan_Calculator!$C$11,Loan_Calculator!$B$4),0)</f>
        <v>17005.529518612169</v>
      </c>
      <c r="G27" s="5">
        <f t="shared" si="0"/>
        <v>2396090.5866061915</v>
      </c>
    </row>
    <row r="28" spans="1:7" x14ac:dyDescent="0.25">
      <c r="A28">
        <v>25</v>
      </c>
      <c r="B28" s="4">
        <f t="shared" si="1"/>
        <v>46966</v>
      </c>
      <c r="C28" s="5">
        <f t="shared" si="2"/>
        <v>2396090.5866061915</v>
      </c>
      <c r="D28" s="5">
        <f>IF(A28&lt;=Loan_Calculator!$C$11,Loan_Calculator!$C$12,0)</f>
        <v>21695.580834138349</v>
      </c>
      <c r="E28" s="5">
        <f>IF(A28&lt;=Loan_Calculator!$C$11,-PPMT(Loan_Calculator!$C$10,A28,Loan_Calculator!$C$11,Loan_Calculator!$B$4),0)</f>
        <v>4723.2725123444889</v>
      </c>
      <c r="F28" s="5">
        <f>IF(A28&lt;=Loan_Calculator!$C$11,-IPMT(Loan_Calculator!$C$10,A28,Loan_Calculator!$C$11,Loan_Calculator!$B$4),0)</f>
        <v>16972.308321793858</v>
      </c>
      <c r="G28" s="5">
        <f t="shared" si="0"/>
        <v>2391367.3140938468</v>
      </c>
    </row>
    <row r="29" spans="1:7" x14ac:dyDescent="0.25">
      <c r="A29">
        <v>26</v>
      </c>
      <c r="B29" s="4">
        <f t="shared" si="1"/>
        <v>46997</v>
      </c>
      <c r="C29" s="5">
        <f t="shared" si="2"/>
        <v>2391367.3140938468</v>
      </c>
      <c r="D29" s="5">
        <f>IF(A29&lt;=Loan_Calculator!$C$11,Loan_Calculator!$C$12,0)</f>
        <v>21695.580834138349</v>
      </c>
      <c r="E29" s="5">
        <f>IF(A29&lt;=Loan_Calculator!$C$11,-PPMT(Loan_Calculator!$C$10,A29,Loan_Calculator!$C$11,Loan_Calculator!$B$4),0)</f>
        <v>4756.7290259735964</v>
      </c>
      <c r="F29" s="5">
        <f>IF(A29&lt;=Loan_Calculator!$C$11,-IPMT(Loan_Calculator!$C$10,A29,Loan_Calculator!$C$11,Loan_Calculator!$B$4),0)</f>
        <v>16938.851808164753</v>
      </c>
      <c r="G29" s="5">
        <f t="shared" si="0"/>
        <v>2386610.5850678734</v>
      </c>
    </row>
    <row r="30" spans="1:7" x14ac:dyDescent="0.25">
      <c r="A30">
        <v>27</v>
      </c>
      <c r="B30" s="4">
        <f t="shared" si="1"/>
        <v>47027</v>
      </c>
      <c r="C30" s="5">
        <f t="shared" si="2"/>
        <v>2386610.5850678734</v>
      </c>
      <c r="D30" s="5">
        <f>IF(A30&lt;=Loan_Calculator!$C$11,Loan_Calculator!$C$12,0)</f>
        <v>21695.580834138349</v>
      </c>
      <c r="E30" s="5">
        <f>IF(A30&lt;=Loan_Calculator!$C$11,-PPMT(Loan_Calculator!$C$10,A30,Loan_Calculator!$C$11,Loan_Calculator!$B$4),0)</f>
        <v>4790.422523240909</v>
      </c>
      <c r="F30" s="5">
        <f>IF(A30&lt;=Loan_Calculator!$C$11,-IPMT(Loan_Calculator!$C$10,A30,Loan_Calculator!$C$11,Loan_Calculator!$B$4),0)</f>
        <v>16905.158310897441</v>
      </c>
      <c r="G30" s="5">
        <f t="shared" si="0"/>
        <v>2381820.1625446323</v>
      </c>
    </row>
    <row r="31" spans="1:7" x14ac:dyDescent="0.25">
      <c r="A31">
        <v>28</v>
      </c>
      <c r="B31" s="4">
        <f t="shared" si="1"/>
        <v>47058</v>
      </c>
      <c r="C31" s="5">
        <f t="shared" si="2"/>
        <v>2381820.1625446323</v>
      </c>
      <c r="D31" s="5">
        <f>IF(A31&lt;=Loan_Calculator!$C$11,Loan_Calculator!$C$12,0)</f>
        <v>21695.580834138349</v>
      </c>
      <c r="E31" s="5">
        <f>IF(A31&lt;=Loan_Calculator!$C$11,-PPMT(Loan_Calculator!$C$10,A31,Loan_Calculator!$C$11,Loan_Calculator!$B$4),0)</f>
        <v>4824.3546827805321</v>
      </c>
      <c r="F31" s="5">
        <f>IF(A31&lt;=Loan_Calculator!$C$11,-IPMT(Loan_Calculator!$C$10,A31,Loan_Calculator!$C$11,Loan_Calculator!$B$4),0)</f>
        <v>16871.226151357816</v>
      </c>
      <c r="G31" s="5">
        <f t="shared" si="0"/>
        <v>2376995.807861852</v>
      </c>
    </row>
    <row r="32" spans="1:7" x14ac:dyDescent="0.25">
      <c r="A32">
        <v>29</v>
      </c>
      <c r="B32" s="4">
        <f t="shared" si="1"/>
        <v>47088</v>
      </c>
      <c r="C32" s="5">
        <f t="shared" si="2"/>
        <v>2376995.807861852</v>
      </c>
      <c r="D32" s="5">
        <f>IF(A32&lt;=Loan_Calculator!$C$11,Loan_Calculator!$C$12,0)</f>
        <v>21695.580834138349</v>
      </c>
      <c r="E32" s="5">
        <f>IF(A32&lt;=Loan_Calculator!$C$11,-PPMT(Loan_Calculator!$C$10,A32,Loan_Calculator!$C$11,Loan_Calculator!$B$4),0)</f>
        <v>4858.5271951168934</v>
      </c>
      <c r="F32" s="5">
        <f>IF(A32&lt;=Loan_Calculator!$C$11,-IPMT(Loan_Calculator!$C$10,A32,Loan_Calculator!$C$11,Loan_Calculator!$B$4),0)</f>
        <v>16837.053639021455</v>
      </c>
      <c r="G32" s="5">
        <f t="shared" si="0"/>
        <v>2372137.280666735</v>
      </c>
    </row>
    <row r="33" spans="1:7" x14ac:dyDescent="0.25">
      <c r="A33">
        <v>30</v>
      </c>
      <c r="B33" s="4">
        <f t="shared" si="1"/>
        <v>47119</v>
      </c>
      <c r="C33" s="5">
        <f t="shared" si="2"/>
        <v>2372137.280666735</v>
      </c>
      <c r="D33" s="5">
        <f>IF(A33&lt;=Loan_Calculator!$C$11,Loan_Calculator!$C$12,0)</f>
        <v>21695.580834138349</v>
      </c>
      <c r="E33" s="5">
        <f>IF(A33&lt;=Loan_Calculator!$C$11,-PPMT(Loan_Calculator!$C$10,A33,Loan_Calculator!$C$11,Loan_Calculator!$B$4),0)</f>
        <v>4892.9417627489711</v>
      </c>
      <c r="F33" s="5">
        <f>IF(A33&lt;=Loan_Calculator!$C$11,-IPMT(Loan_Calculator!$C$10,A33,Loan_Calculator!$C$11,Loan_Calculator!$B$4),0)</f>
        <v>16802.639071389378</v>
      </c>
      <c r="G33" s="5">
        <f t="shared" si="0"/>
        <v>2367244.3389039859</v>
      </c>
    </row>
    <row r="34" spans="1:7" x14ac:dyDescent="0.25">
      <c r="A34">
        <v>31</v>
      </c>
      <c r="B34" s="4">
        <f t="shared" si="1"/>
        <v>47150</v>
      </c>
      <c r="C34" s="5">
        <f t="shared" si="2"/>
        <v>2367244.3389039859</v>
      </c>
      <c r="D34" s="5">
        <f>IF(A34&lt;=Loan_Calculator!$C$11,Loan_Calculator!$C$12,0)</f>
        <v>21695.580834138349</v>
      </c>
      <c r="E34" s="5">
        <f>IF(A34&lt;=Loan_Calculator!$C$11,-PPMT(Loan_Calculator!$C$10,A34,Loan_Calculator!$C$11,Loan_Calculator!$B$4),0)</f>
        <v>4927.6001002351104</v>
      </c>
      <c r="F34" s="5">
        <f>IF(A34&lt;=Loan_Calculator!$C$11,-IPMT(Loan_Calculator!$C$10,A34,Loan_Calculator!$C$11,Loan_Calculator!$B$4),0)</f>
        <v>16767.980733903238</v>
      </c>
      <c r="G34" s="5">
        <f t="shared" si="0"/>
        <v>2362316.7388037508</v>
      </c>
    </row>
    <row r="35" spans="1:7" x14ac:dyDescent="0.25">
      <c r="A35">
        <v>32</v>
      </c>
      <c r="B35" s="4">
        <f t="shared" si="1"/>
        <v>47178</v>
      </c>
      <c r="C35" s="5">
        <f t="shared" si="2"/>
        <v>2362316.7388037508</v>
      </c>
      <c r="D35" s="5">
        <f>IF(A35&lt;=Loan_Calculator!$C$11,Loan_Calculator!$C$12,0)</f>
        <v>21695.580834138349</v>
      </c>
      <c r="E35" s="5">
        <f>IF(A35&lt;=Loan_Calculator!$C$11,-PPMT(Loan_Calculator!$C$10,A35,Loan_Calculator!$C$11,Loan_Calculator!$B$4),0)</f>
        <v>4962.5039342784439</v>
      </c>
      <c r="F35" s="5">
        <f>IF(A35&lt;=Loan_Calculator!$C$11,-IPMT(Loan_Calculator!$C$10,A35,Loan_Calculator!$C$11,Loan_Calculator!$B$4),0)</f>
        <v>16733.076899859901</v>
      </c>
      <c r="G35" s="5">
        <f t="shared" si="0"/>
        <v>2357354.2348694722</v>
      </c>
    </row>
    <row r="36" spans="1:7" x14ac:dyDescent="0.25">
      <c r="A36">
        <v>33</v>
      </c>
      <c r="B36" s="4">
        <f t="shared" si="1"/>
        <v>47209</v>
      </c>
      <c r="C36" s="5">
        <f t="shared" si="2"/>
        <v>2357354.2348694722</v>
      </c>
      <c r="D36" s="5">
        <f>IF(A36&lt;=Loan_Calculator!$C$11,Loan_Calculator!$C$12,0)</f>
        <v>21695.580834138349</v>
      </c>
      <c r="E36" s="5">
        <f>IF(A36&lt;=Loan_Calculator!$C$11,-PPMT(Loan_Calculator!$C$10,A36,Loan_Calculator!$C$11,Loan_Calculator!$B$4),0)</f>
        <v>4997.6550038129153</v>
      </c>
      <c r="F36" s="5">
        <f>IF(A36&lt;=Loan_Calculator!$C$11,-IPMT(Loan_Calculator!$C$10,A36,Loan_Calculator!$C$11,Loan_Calculator!$B$4),0)</f>
        <v>16697.925830325432</v>
      </c>
      <c r="G36" s="5">
        <f t="shared" si="0"/>
        <v>2352356.5798656591</v>
      </c>
    </row>
    <row r="37" spans="1:7" x14ac:dyDescent="0.25">
      <c r="A37">
        <v>34</v>
      </c>
      <c r="B37" s="4">
        <f t="shared" si="1"/>
        <v>47239</v>
      </c>
      <c r="C37" s="5">
        <f t="shared" si="2"/>
        <v>2352356.5798656591</v>
      </c>
      <c r="D37" s="5">
        <f>IF(A37&lt;=Loan_Calculator!$C$11,Loan_Calculator!$C$12,0)</f>
        <v>21695.580834138349</v>
      </c>
      <c r="E37" s="5">
        <f>IF(A37&lt;=Loan_Calculator!$C$11,-PPMT(Loan_Calculator!$C$10,A37,Loan_Calculator!$C$11,Loan_Calculator!$B$4),0)</f>
        <v>5033.0550600899232</v>
      </c>
      <c r="F37" s="5">
        <f>IF(A37&lt;=Loan_Calculator!$C$11,-IPMT(Loan_Calculator!$C$10,A37,Loan_Calculator!$C$11,Loan_Calculator!$B$4),0)</f>
        <v>16662.525774048427</v>
      </c>
      <c r="G37" s="5">
        <f t="shared" si="0"/>
        <v>2347323.5248055691</v>
      </c>
    </row>
    <row r="38" spans="1:7" x14ac:dyDescent="0.25">
      <c r="A38">
        <v>35</v>
      </c>
      <c r="B38" s="4">
        <f t="shared" si="1"/>
        <v>47270</v>
      </c>
      <c r="C38" s="5">
        <f t="shared" si="2"/>
        <v>2347323.5248055691</v>
      </c>
      <c r="D38" s="5">
        <f>IF(A38&lt;=Loan_Calculator!$C$11,Loan_Calculator!$C$12,0)</f>
        <v>21695.580834138349</v>
      </c>
      <c r="E38" s="5">
        <f>IF(A38&lt;=Loan_Calculator!$C$11,-PPMT(Loan_Calculator!$C$10,A38,Loan_Calculator!$C$11,Loan_Calculator!$B$4),0)</f>
        <v>5068.7058667655601</v>
      </c>
      <c r="F38" s="5">
        <f>IF(A38&lt;=Loan_Calculator!$C$11,-IPMT(Loan_Calculator!$C$10,A38,Loan_Calculator!$C$11,Loan_Calculator!$B$4),0)</f>
        <v>16626.874967372787</v>
      </c>
      <c r="G38" s="5">
        <f t="shared" si="0"/>
        <v>2342254.8189388034</v>
      </c>
    </row>
    <row r="39" spans="1:7" x14ac:dyDescent="0.25">
      <c r="A39">
        <v>36</v>
      </c>
      <c r="B39" s="4">
        <f t="shared" si="1"/>
        <v>47300</v>
      </c>
      <c r="C39" s="5">
        <f t="shared" si="2"/>
        <v>2342254.8189388034</v>
      </c>
      <c r="D39" s="5">
        <f>IF(A39&lt;=Loan_Calculator!$C$11,Loan_Calculator!$C$12,0)</f>
        <v>21695.580834138349</v>
      </c>
      <c r="E39" s="5">
        <f>IF(A39&lt;=Loan_Calculator!$C$11,-PPMT(Loan_Calculator!$C$10,A39,Loan_Calculator!$C$11,Loan_Calculator!$B$4),0)</f>
        <v>5104.6091999884829</v>
      </c>
      <c r="F39" s="5">
        <f>IF(A39&lt;=Loan_Calculator!$C$11,-IPMT(Loan_Calculator!$C$10,A39,Loan_Calculator!$C$11,Loan_Calculator!$B$4),0)</f>
        <v>16590.971634149864</v>
      </c>
      <c r="G39" s="5">
        <f t="shared" si="0"/>
        <v>2337150.2097388147</v>
      </c>
    </row>
    <row r="40" spans="1:7" x14ac:dyDescent="0.25">
      <c r="A40">
        <v>37</v>
      </c>
      <c r="B40" s="4">
        <f t="shared" si="1"/>
        <v>47331</v>
      </c>
      <c r="C40" s="5">
        <f t="shared" si="2"/>
        <v>2337150.2097388147</v>
      </c>
      <c r="D40" s="5">
        <f>IF(A40&lt;=Loan_Calculator!$C$11,Loan_Calculator!$C$12,0)</f>
        <v>21695.580834138349</v>
      </c>
      <c r="E40" s="5">
        <f>IF(A40&lt;=Loan_Calculator!$C$11,-PPMT(Loan_Calculator!$C$10,A40,Loan_Calculator!$C$11,Loan_Calculator!$B$4),0)</f>
        <v>5140.7668484884007</v>
      </c>
      <c r="F40" s="5">
        <f>IF(A40&lt;=Loan_Calculator!$C$11,-IPMT(Loan_Calculator!$C$10,A40,Loan_Calculator!$C$11,Loan_Calculator!$B$4),0)</f>
        <v>16554.813985649947</v>
      </c>
      <c r="G40" s="5">
        <f t="shared" si="0"/>
        <v>2332009.4428903265</v>
      </c>
    </row>
    <row r="41" spans="1:7" x14ac:dyDescent="0.25">
      <c r="A41">
        <v>38</v>
      </c>
      <c r="B41" s="4">
        <f t="shared" si="1"/>
        <v>47362</v>
      </c>
      <c r="C41" s="5">
        <f t="shared" si="2"/>
        <v>2332009.4428903265</v>
      </c>
      <c r="D41" s="5">
        <f>IF(A41&lt;=Loan_Calculator!$C$11,Loan_Calculator!$C$12,0)</f>
        <v>21695.580834138349</v>
      </c>
      <c r="E41" s="5">
        <f>IF(A41&lt;=Loan_Calculator!$C$11,-PPMT(Loan_Calculator!$C$10,A41,Loan_Calculator!$C$11,Loan_Calculator!$B$4),0)</f>
        <v>5177.1806136651949</v>
      </c>
      <c r="F41" s="5">
        <f>IF(A41&lt;=Loan_Calculator!$C$11,-IPMT(Loan_Calculator!$C$10,A41,Loan_Calculator!$C$11,Loan_Calculator!$B$4),0)</f>
        <v>16518.400220473155</v>
      </c>
      <c r="G41" s="5">
        <f t="shared" si="0"/>
        <v>2326832.2622766611</v>
      </c>
    </row>
    <row r="42" spans="1:7" x14ac:dyDescent="0.25">
      <c r="A42">
        <v>39</v>
      </c>
      <c r="B42" s="4">
        <f t="shared" si="1"/>
        <v>47392</v>
      </c>
      <c r="C42" s="5">
        <f t="shared" si="2"/>
        <v>2326832.2622766611</v>
      </c>
      <c r="D42" s="5">
        <f>IF(A42&lt;=Loan_Calculator!$C$11,Loan_Calculator!$C$12,0)</f>
        <v>21695.580834138349</v>
      </c>
      <c r="E42" s="5">
        <f>IF(A42&lt;=Loan_Calculator!$C$11,-PPMT(Loan_Calculator!$C$10,A42,Loan_Calculator!$C$11,Loan_Calculator!$B$4),0)</f>
        <v>5213.8523096786557</v>
      </c>
      <c r="F42" s="5">
        <f>IF(A42&lt;=Loan_Calculator!$C$11,-IPMT(Loan_Calculator!$C$10,A42,Loan_Calculator!$C$11,Loan_Calculator!$B$4),0)</f>
        <v>16481.72852445969</v>
      </c>
      <c r="G42" s="5">
        <f t="shared" si="0"/>
        <v>2321618.4099669824</v>
      </c>
    </row>
    <row r="43" spans="1:7" x14ac:dyDescent="0.25">
      <c r="A43">
        <v>40</v>
      </c>
      <c r="B43" s="4">
        <f t="shared" si="1"/>
        <v>47423</v>
      </c>
      <c r="C43" s="5">
        <f t="shared" si="2"/>
        <v>2321618.4099669824</v>
      </c>
      <c r="D43" s="5">
        <f>IF(A43&lt;=Loan_Calculator!$C$11,Loan_Calculator!$C$12,0)</f>
        <v>21695.580834138349</v>
      </c>
      <c r="E43" s="5">
        <f>IF(A43&lt;=Loan_Calculator!$C$11,-PPMT(Loan_Calculator!$C$10,A43,Loan_Calculator!$C$11,Loan_Calculator!$B$4),0)</f>
        <v>5250.7837635388787</v>
      </c>
      <c r="F43" s="5">
        <f>IF(A43&lt;=Loan_Calculator!$C$11,-IPMT(Loan_Calculator!$C$10,A43,Loan_Calculator!$C$11,Loan_Calculator!$B$4),0)</f>
        <v>16444.79707059947</v>
      </c>
      <c r="G43" s="5">
        <f t="shared" si="0"/>
        <v>2316367.6262034434</v>
      </c>
    </row>
    <row r="44" spans="1:7" x14ac:dyDescent="0.25">
      <c r="A44">
        <v>41</v>
      </c>
      <c r="B44" s="4">
        <f t="shared" si="1"/>
        <v>47453</v>
      </c>
      <c r="C44" s="5">
        <f t="shared" si="2"/>
        <v>2316367.6262034434</v>
      </c>
      <c r="D44" s="5">
        <f>IF(A44&lt;=Loan_Calculator!$C$11,Loan_Calculator!$C$12,0)</f>
        <v>21695.580834138349</v>
      </c>
      <c r="E44" s="5">
        <f>IF(A44&lt;=Loan_Calculator!$C$11,-PPMT(Loan_Calculator!$C$10,A44,Loan_Calculator!$C$11,Loan_Calculator!$B$4),0)</f>
        <v>5287.9768151972794</v>
      </c>
      <c r="F44" s="5">
        <f>IF(A44&lt;=Loan_Calculator!$C$11,-IPMT(Loan_Calculator!$C$10,A44,Loan_Calculator!$C$11,Loan_Calculator!$B$4),0)</f>
        <v>16407.604018941067</v>
      </c>
      <c r="G44" s="5">
        <f t="shared" si="0"/>
        <v>2311079.6493882462</v>
      </c>
    </row>
    <row r="45" spans="1:7" x14ac:dyDescent="0.25">
      <c r="A45">
        <v>42</v>
      </c>
      <c r="B45" s="4">
        <f t="shared" si="1"/>
        <v>47484</v>
      </c>
      <c r="C45" s="5">
        <f t="shared" si="2"/>
        <v>2311079.6493882462</v>
      </c>
      <c r="D45" s="5">
        <f>IF(A45&lt;=Loan_Calculator!$C$11,Loan_Calculator!$C$12,0)</f>
        <v>21695.580834138349</v>
      </c>
      <c r="E45" s="5">
        <f>IF(A45&lt;=Loan_Calculator!$C$11,-PPMT(Loan_Calculator!$C$10,A45,Loan_Calculator!$C$11,Loan_Calculator!$B$4),0)</f>
        <v>5325.4333176382615</v>
      </c>
      <c r="F45" s="5">
        <f>IF(A45&lt;=Loan_Calculator!$C$11,-IPMT(Loan_Calculator!$C$10,A45,Loan_Calculator!$C$11,Loan_Calculator!$B$4),0)</f>
        <v>16370.147516500085</v>
      </c>
      <c r="G45" s="5">
        <f t="shared" si="0"/>
        <v>2305754.2160706078</v>
      </c>
    </row>
    <row r="46" spans="1:7" x14ac:dyDescent="0.25">
      <c r="A46">
        <v>43</v>
      </c>
      <c r="B46" s="4">
        <f t="shared" si="1"/>
        <v>47515</v>
      </c>
      <c r="C46" s="5">
        <f t="shared" si="2"/>
        <v>2305754.2160706078</v>
      </c>
      <c r="D46" s="5">
        <f>IF(A46&lt;=Loan_Calculator!$C$11,Loan_Calculator!$C$12,0)</f>
        <v>21695.580834138349</v>
      </c>
      <c r="E46" s="5">
        <f>IF(A46&lt;=Loan_Calculator!$C$11,-PPMT(Loan_Calculator!$C$10,A46,Loan_Calculator!$C$11,Loan_Calculator!$B$4),0)</f>
        <v>5363.1551369715316</v>
      </c>
      <c r="F46" s="5">
        <f>IF(A46&lt;=Loan_Calculator!$C$11,-IPMT(Loan_Calculator!$C$10,A46,Loan_Calculator!$C$11,Loan_Calculator!$B$4),0)</f>
        <v>16332.425697166816</v>
      </c>
      <c r="G46" s="5">
        <f t="shared" si="0"/>
        <v>2300391.060933636</v>
      </c>
    </row>
    <row r="47" spans="1:7" x14ac:dyDescent="0.25">
      <c r="A47">
        <v>44</v>
      </c>
      <c r="B47" s="4">
        <f t="shared" si="1"/>
        <v>47543</v>
      </c>
      <c r="C47" s="5">
        <f t="shared" si="2"/>
        <v>2300391.060933636</v>
      </c>
      <c r="D47" s="5">
        <f>IF(A47&lt;=Loan_Calculator!$C$11,Loan_Calculator!$C$12,0)</f>
        <v>21695.580834138349</v>
      </c>
      <c r="E47" s="5">
        <f>IF(A47&lt;=Loan_Calculator!$C$11,-PPMT(Loan_Calculator!$C$10,A47,Loan_Calculator!$C$11,Loan_Calculator!$B$4),0)</f>
        <v>5401.1441525250802</v>
      </c>
      <c r="F47" s="5">
        <f>IF(A47&lt;=Loan_Calculator!$C$11,-IPMT(Loan_Calculator!$C$10,A47,Loan_Calculator!$C$11,Loan_Calculator!$B$4),0)</f>
        <v>16294.436681613266</v>
      </c>
      <c r="G47" s="5">
        <f t="shared" si="0"/>
        <v>2294989.9167811112</v>
      </c>
    </row>
    <row r="48" spans="1:7" x14ac:dyDescent="0.25">
      <c r="A48">
        <v>45</v>
      </c>
      <c r="B48" s="4">
        <f t="shared" si="1"/>
        <v>47574</v>
      </c>
      <c r="C48" s="5">
        <f t="shared" si="2"/>
        <v>2294989.9167811112</v>
      </c>
      <c r="D48" s="5">
        <f>IF(A48&lt;=Loan_Calculator!$C$11,Loan_Calculator!$C$12,0)</f>
        <v>21695.580834138349</v>
      </c>
      <c r="E48" s="5">
        <f>IF(A48&lt;=Loan_Calculator!$C$11,-PPMT(Loan_Calculator!$C$10,A48,Loan_Calculator!$C$11,Loan_Calculator!$B$4),0)</f>
        <v>5439.4022569387998</v>
      </c>
      <c r="F48" s="5">
        <f>IF(A48&lt;=Loan_Calculator!$C$11,-IPMT(Loan_Calculator!$C$10,A48,Loan_Calculator!$C$11,Loan_Calculator!$B$4),0)</f>
        <v>16256.178577199549</v>
      </c>
      <c r="G48" s="5">
        <f t="shared" si="0"/>
        <v>2289550.5145241725</v>
      </c>
    </row>
    <row r="49" spans="1:7" x14ac:dyDescent="0.25">
      <c r="A49">
        <v>46</v>
      </c>
      <c r="B49" s="4">
        <f t="shared" si="1"/>
        <v>47604</v>
      </c>
      <c r="C49" s="5">
        <f t="shared" si="2"/>
        <v>2289550.5145241725</v>
      </c>
      <c r="D49" s="5">
        <f>IF(A49&lt;=Loan_Calculator!$C$11,Loan_Calculator!$C$12,0)</f>
        <v>21695.580834138349</v>
      </c>
      <c r="E49" s="5">
        <f>IF(A49&lt;=Loan_Calculator!$C$11,-PPMT(Loan_Calculator!$C$10,A49,Loan_Calculator!$C$11,Loan_Calculator!$B$4),0)</f>
        <v>5477.9313562587831</v>
      </c>
      <c r="F49" s="5">
        <f>IF(A49&lt;=Loan_Calculator!$C$11,-IPMT(Loan_Calculator!$C$10,A49,Loan_Calculator!$C$11,Loan_Calculator!$B$4),0)</f>
        <v>16217.649477879566</v>
      </c>
      <c r="G49" s="5">
        <f t="shared" si="0"/>
        <v>2284072.5831679138</v>
      </c>
    </row>
    <row r="50" spans="1:7" x14ac:dyDescent="0.25">
      <c r="A50">
        <v>47</v>
      </c>
      <c r="B50" s="4">
        <f t="shared" si="1"/>
        <v>47635</v>
      </c>
      <c r="C50" s="5">
        <f t="shared" si="2"/>
        <v>2284072.5831679138</v>
      </c>
      <c r="D50" s="5">
        <f>IF(A50&lt;=Loan_Calculator!$C$11,Loan_Calculator!$C$12,0)</f>
        <v>21695.580834138349</v>
      </c>
      <c r="E50" s="5">
        <f>IF(A50&lt;=Loan_Calculator!$C$11,-PPMT(Loan_Calculator!$C$10,A50,Loan_Calculator!$C$11,Loan_Calculator!$B$4),0)</f>
        <v>5516.7333700322824</v>
      </c>
      <c r="F50" s="5">
        <f>IF(A50&lt;=Loan_Calculator!$C$11,-IPMT(Loan_Calculator!$C$10,A50,Loan_Calculator!$C$11,Loan_Calculator!$B$4),0)</f>
        <v>16178.847464106064</v>
      </c>
      <c r="G50" s="5">
        <f t="shared" si="0"/>
        <v>2278555.8497978817</v>
      </c>
    </row>
    <row r="51" spans="1:7" x14ac:dyDescent="0.25">
      <c r="A51">
        <v>48</v>
      </c>
      <c r="B51" s="4">
        <f t="shared" si="1"/>
        <v>47665</v>
      </c>
      <c r="C51" s="5">
        <f t="shared" si="2"/>
        <v>2278555.8497978817</v>
      </c>
      <c r="D51" s="5">
        <f>IF(A51&lt;=Loan_Calculator!$C$11,Loan_Calculator!$C$12,0)</f>
        <v>21695.580834138349</v>
      </c>
      <c r="E51" s="5">
        <f>IF(A51&lt;=Loan_Calculator!$C$11,-PPMT(Loan_Calculator!$C$10,A51,Loan_Calculator!$C$11,Loan_Calculator!$B$4),0)</f>
        <v>5555.810231403344</v>
      </c>
      <c r="F51" s="5">
        <f>IF(A51&lt;=Loan_Calculator!$C$11,-IPMT(Loan_Calculator!$C$10,A51,Loan_Calculator!$C$11,Loan_Calculator!$B$4),0)</f>
        <v>16139.770602735003</v>
      </c>
      <c r="G51" s="5">
        <f t="shared" si="0"/>
        <v>2273000.0395664782</v>
      </c>
    </row>
    <row r="52" spans="1:7" x14ac:dyDescent="0.25">
      <c r="A52">
        <v>49</v>
      </c>
      <c r="B52" s="4">
        <f t="shared" si="1"/>
        <v>47696</v>
      </c>
      <c r="C52" s="5">
        <f t="shared" si="2"/>
        <v>2273000.0395664782</v>
      </c>
      <c r="D52" s="5">
        <f>IF(A52&lt;=Loan_Calculator!$C$11,Loan_Calculator!$C$12,0)</f>
        <v>21695.580834138349</v>
      </c>
      <c r="E52" s="5">
        <f>IF(A52&lt;=Loan_Calculator!$C$11,-PPMT(Loan_Calculator!$C$10,A52,Loan_Calculator!$C$11,Loan_Calculator!$B$4),0)</f>
        <v>5595.163887209118</v>
      </c>
      <c r="F52" s="5">
        <f>IF(A52&lt;=Loan_Calculator!$C$11,-IPMT(Loan_Calculator!$C$10,A52,Loan_Calculator!$C$11,Loan_Calculator!$B$4),0)</f>
        <v>16100.416946929228</v>
      </c>
      <c r="G52" s="5">
        <f t="shared" si="0"/>
        <v>2267404.875679269</v>
      </c>
    </row>
    <row r="53" spans="1:7" x14ac:dyDescent="0.25">
      <c r="A53">
        <v>50</v>
      </c>
      <c r="B53" s="4">
        <f t="shared" si="1"/>
        <v>47727</v>
      </c>
      <c r="C53" s="5">
        <f t="shared" si="2"/>
        <v>2267404.875679269</v>
      </c>
      <c r="D53" s="5">
        <f>IF(A53&lt;=Loan_Calculator!$C$11,Loan_Calculator!$C$12,0)</f>
        <v>21695.580834138349</v>
      </c>
      <c r="E53" s="5">
        <f>IF(A53&lt;=Loan_Calculator!$C$11,-PPMT(Loan_Calculator!$C$10,A53,Loan_Calculator!$C$11,Loan_Calculator!$B$4),0)</f>
        <v>5634.7962980768489</v>
      </c>
      <c r="F53" s="5">
        <f>IF(A53&lt;=Loan_Calculator!$C$11,-IPMT(Loan_Calculator!$C$10,A53,Loan_Calculator!$C$11,Loan_Calculator!$B$4),0)</f>
        <v>16060.784536061499</v>
      </c>
      <c r="G53" s="5">
        <f t="shared" si="0"/>
        <v>2261770.0793811921</v>
      </c>
    </row>
    <row r="54" spans="1:7" x14ac:dyDescent="0.25">
      <c r="A54">
        <v>51</v>
      </c>
      <c r="B54" s="4">
        <f t="shared" si="1"/>
        <v>47757</v>
      </c>
      <c r="C54" s="5">
        <f t="shared" si="2"/>
        <v>2261770.0793811921</v>
      </c>
      <c r="D54" s="5">
        <f>IF(A54&lt;=Loan_Calculator!$C$11,Loan_Calculator!$C$12,0)</f>
        <v>21695.580834138349</v>
      </c>
      <c r="E54" s="5">
        <f>IF(A54&lt;=Loan_Calculator!$C$11,-PPMT(Loan_Calculator!$C$10,A54,Loan_Calculator!$C$11,Loan_Calculator!$B$4),0)</f>
        <v>5674.7094385215587</v>
      </c>
      <c r="F54" s="5">
        <f>IF(A54&lt;=Loan_Calculator!$C$11,-IPMT(Loan_Calculator!$C$10,A54,Loan_Calculator!$C$11,Loan_Calculator!$B$4),0)</f>
        <v>16020.871395616789</v>
      </c>
      <c r="G54" s="5">
        <f t="shared" si="0"/>
        <v>2256095.3699426707</v>
      </c>
    </row>
    <row r="55" spans="1:7" x14ac:dyDescent="0.25">
      <c r="A55">
        <v>52</v>
      </c>
      <c r="B55" s="4">
        <f t="shared" si="1"/>
        <v>47788</v>
      </c>
      <c r="C55" s="5">
        <f t="shared" si="2"/>
        <v>2256095.3699426707</v>
      </c>
      <c r="D55" s="5">
        <f>IF(A55&lt;=Loan_Calculator!$C$11,Loan_Calculator!$C$12,0)</f>
        <v>21695.580834138349</v>
      </c>
      <c r="E55" s="5">
        <f>IF(A55&lt;=Loan_Calculator!$C$11,-PPMT(Loan_Calculator!$C$10,A55,Loan_Calculator!$C$11,Loan_Calculator!$B$4),0)</f>
        <v>5714.9052970444218</v>
      </c>
      <c r="F55" s="5">
        <f>IF(A55&lt;=Loan_Calculator!$C$11,-IPMT(Loan_Calculator!$C$10,A55,Loan_Calculator!$C$11,Loan_Calculator!$B$4),0)</f>
        <v>15980.675537093928</v>
      </c>
      <c r="G55" s="5">
        <f t="shared" si="0"/>
        <v>2250380.4646456265</v>
      </c>
    </row>
    <row r="56" spans="1:7" x14ac:dyDescent="0.25">
      <c r="A56">
        <v>53</v>
      </c>
      <c r="B56" s="4">
        <f t="shared" si="1"/>
        <v>47818</v>
      </c>
      <c r="C56" s="5">
        <f t="shared" si="2"/>
        <v>2250380.4646456265</v>
      </c>
      <c r="D56" s="5">
        <f>IF(A56&lt;=Loan_Calculator!$C$11,Loan_Calculator!$C$12,0)</f>
        <v>21695.580834138349</v>
      </c>
      <c r="E56" s="5">
        <f>IF(A56&lt;=Loan_Calculator!$C$11,-PPMT(Loan_Calculator!$C$10,A56,Loan_Calculator!$C$11,Loan_Calculator!$B$4),0)</f>
        <v>5755.3858762318196</v>
      </c>
      <c r="F56" s="5">
        <f>IF(A56&lt;=Loan_Calculator!$C$11,-IPMT(Loan_Calculator!$C$10,A56,Loan_Calculator!$C$11,Loan_Calculator!$B$4),0)</f>
        <v>15940.194957906529</v>
      </c>
      <c r="G56" s="5">
        <f t="shared" si="0"/>
        <v>2244625.0787693947</v>
      </c>
    </row>
    <row r="57" spans="1:7" x14ac:dyDescent="0.25">
      <c r="A57">
        <v>54</v>
      </c>
      <c r="B57" s="4">
        <f t="shared" si="1"/>
        <v>47849</v>
      </c>
      <c r="C57" s="5">
        <f t="shared" si="2"/>
        <v>2244625.0787693947</v>
      </c>
      <c r="D57" s="5">
        <f>IF(A57&lt;=Loan_Calculator!$C$11,Loan_Calculator!$C$12,0)</f>
        <v>21695.580834138349</v>
      </c>
      <c r="E57" s="5">
        <f>IF(A57&lt;=Loan_Calculator!$C$11,-PPMT(Loan_Calculator!$C$10,A57,Loan_Calculator!$C$11,Loan_Calculator!$B$4),0)</f>
        <v>5796.1531928551294</v>
      </c>
      <c r="F57" s="5">
        <f>IF(A57&lt;=Loan_Calculator!$C$11,-IPMT(Loan_Calculator!$C$10,A57,Loan_Calculator!$C$11,Loan_Calculator!$B$4),0)</f>
        <v>15899.427641283221</v>
      </c>
      <c r="G57" s="5">
        <f t="shared" si="0"/>
        <v>2238828.9255765397</v>
      </c>
    </row>
    <row r="58" spans="1:7" x14ac:dyDescent="0.25">
      <c r="A58">
        <v>55</v>
      </c>
      <c r="B58" s="4">
        <f t="shared" si="1"/>
        <v>47880</v>
      </c>
      <c r="C58" s="5">
        <f t="shared" si="2"/>
        <v>2238828.9255765397</v>
      </c>
      <c r="D58" s="5">
        <f>IF(A58&lt;=Loan_Calculator!$C$11,Loan_Calculator!$C$12,0)</f>
        <v>21695.580834138349</v>
      </c>
      <c r="E58" s="5">
        <f>IF(A58&lt;=Loan_Calculator!$C$11,-PPMT(Loan_Calculator!$C$10,A58,Loan_Calculator!$C$11,Loan_Calculator!$B$4),0)</f>
        <v>5837.2092779711847</v>
      </c>
      <c r="F58" s="5">
        <f>IF(A58&lt;=Loan_Calculator!$C$11,-IPMT(Loan_Calculator!$C$10,A58,Loan_Calculator!$C$11,Loan_Calculator!$B$4),0)</f>
        <v>15858.371556167163</v>
      </c>
      <c r="G58" s="5">
        <f t="shared" si="0"/>
        <v>2232991.7162985685</v>
      </c>
    </row>
    <row r="59" spans="1:7" x14ac:dyDescent="0.25">
      <c r="A59">
        <v>56</v>
      </c>
      <c r="B59" s="4">
        <f t="shared" si="1"/>
        <v>47908</v>
      </c>
      <c r="C59" s="5">
        <f t="shared" si="2"/>
        <v>2232991.7162985685</v>
      </c>
      <c r="D59" s="5">
        <f>IF(A59&lt;=Loan_Calculator!$C$11,Loan_Calculator!$C$12,0)</f>
        <v>21695.580834138349</v>
      </c>
      <c r="E59" s="5">
        <f>IF(A59&lt;=Loan_Calculator!$C$11,-PPMT(Loan_Calculator!$C$10,A59,Loan_Calculator!$C$11,Loan_Calculator!$B$4),0)</f>
        <v>5878.5561770234817</v>
      </c>
      <c r="F59" s="5">
        <f>IF(A59&lt;=Loan_Calculator!$C$11,-IPMT(Loan_Calculator!$C$10,A59,Loan_Calculator!$C$11,Loan_Calculator!$B$4),0)</f>
        <v>15817.024657114867</v>
      </c>
      <c r="G59" s="5">
        <f t="shared" si="0"/>
        <v>2227113.1601215452</v>
      </c>
    </row>
    <row r="60" spans="1:7" x14ac:dyDescent="0.25">
      <c r="A60">
        <v>57</v>
      </c>
      <c r="B60" s="4">
        <f t="shared" si="1"/>
        <v>47939</v>
      </c>
      <c r="C60" s="5">
        <f t="shared" si="2"/>
        <v>2227113.1601215452</v>
      </c>
      <c r="D60" s="5">
        <f>IF(A60&lt;=Loan_Calculator!$C$11,Loan_Calculator!$C$12,0)</f>
        <v>21695.580834138349</v>
      </c>
      <c r="E60" s="5">
        <f>IF(A60&lt;=Loan_Calculator!$C$11,-PPMT(Loan_Calculator!$C$10,A60,Loan_Calculator!$C$11,Loan_Calculator!$B$4),0)</f>
        <v>5920.1959499440636</v>
      </c>
      <c r="F60" s="5">
        <f>IF(A60&lt;=Loan_Calculator!$C$11,-IPMT(Loan_Calculator!$C$10,A60,Loan_Calculator!$C$11,Loan_Calculator!$B$4),0)</f>
        <v>15775.384884194284</v>
      </c>
      <c r="G60" s="5">
        <f t="shared" si="0"/>
        <v>2221192.964171601</v>
      </c>
    </row>
    <row r="61" spans="1:7" x14ac:dyDescent="0.25">
      <c r="A61">
        <v>58</v>
      </c>
      <c r="B61" s="4">
        <f t="shared" si="1"/>
        <v>47969</v>
      </c>
      <c r="C61" s="5">
        <f t="shared" si="2"/>
        <v>2221192.964171601</v>
      </c>
      <c r="D61" s="5">
        <f>IF(A61&lt;=Loan_Calculator!$C$11,Loan_Calculator!$C$12,0)</f>
        <v>21695.580834138349</v>
      </c>
      <c r="E61" s="5">
        <f>IF(A61&lt;=Loan_Calculator!$C$11,-PPMT(Loan_Calculator!$C$10,A61,Loan_Calculator!$C$11,Loan_Calculator!$B$4),0)</f>
        <v>5962.1306712561673</v>
      </c>
      <c r="F61" s="5">
        <f>IF(A61&lt;=Loan_Calculator!$C$11,-IPMT(Loan_Calculator!$C$10,A61,Loan_Calculator!$C$11,Loan_Calculator!$B$4),0)</f>
        <v>15733.450162882178</v>
      </c>
      <c r="G61" s="5">
        <f t="shared" si="0"/>
        <v>2215230.8335003448</v>
      </c>
    </row>
    <row r="62" spans="1:7" x14ac:dyDescent="0.25">
      <c r="A62">
        <v>59</v>
      </c>
      <c r="B62" s="4">
        <f t="shared" si="1"/>
        <v>48000</v>
      </c>
      <c r="C62" s="5">
        <f t="shared" si="2"/>
        <v>2215230.8335003448</v>
      </c>
      <c r="D62" s="5">
        <f>IF(A62&lt;=Loan_Calculator!$C$11,Loan_Calculator!$C$12,0)</f>
        <v>21695.580834138349</v>
      </c>
      <c r="E62" s="5">
        <f>IF(A62&lt;=Loan_Calculator!$C$11,-PPMT(Loan_Calculator!$C$10,A62,Loan_Calculator!$C$11,Loan_Calculator!$B$4),0)</f>
        <v>6004.3624301775653</v>
      </c>
      <c r="F62" s="5">
        <f>IF(A62&lt;=Loan_Calculator!$C$11,-IPMT(Loan_Calculator!$C$10,A62,Loan_Calculator!$C$11,Loan_Calculator!$B$4),0)</f>
        <v>15691.218403960784</v>
      </c>
      <c r="G62" s="5">
        <f t="shared" si="0"/>
        <v>2209226.4710701671</v>
      </c>
    </row>
    <row r="63" spans="1:7" x14ac:dyDescent="0.25">
      <c r="A63">
        <v>60</v>
      </c>
      <c r="B63" s="4">
        <f t="shared" si="1"/>
        <v>48030</v>
      </c>
      <c r="C63" s="5">
        <f t="shared" si="2"/>
        <v>2209226.4710701671</v>
      </c>
      <c r="D63" s="5">
        <f>IF(A63&lt;=Loan_Calculator!$C$11,Loan_Calculator!$C$12,0)</f>
        <v>21695.580834138349</v>
      </c>
      <c r="E63" s="5">
        <f>IF(A63&lt;=Loan_Calculator!$C$11,-PPMT(Loan_Calculator!$C$10,A63,Loan_Calculator!$C$11,Loan_Calculator!$B$4),0)</f>
        <v>6046.8933307246562</v>
      </c>
      <c r="F63" s="5">
        <f>IF(A63&lt;=Loan_Calculator!$C$11,-IPMT(Loan_Calculator!$C$10,A63,Loan_Calculator!$C$11,Loan_Calculator!$B$4),0)</f>
        <v>15648.687503413692</v>
      </c>
      <c r="G63" s="5">
        <f t="shared" si="0"/>
        <v>2203179.5777394427</v>
      </c>
    </row>
    <row r="64" spans="1:7" x14ac:dyDescent="0.25">
      <c r="A64">
        <v>61</v>
      </c>
      <c r="B64" s="4">
        <f t="shared" si="1"/>
        <v>48061</v>
      </c>
      <c r="C64" s="5">
        <f t="shared" si="2"/>
        <v>2203179.5777394427</v>
      </c>
      <c r="D64" s="5">
        <f>IF(A64&lt;=Loan_Calculator!$C$11,Loan_Calculator!$C$12,0)</f>
        <v>21695.580834138349</v>
      </c>
      <c r="E64" s="5">
        <f>IF(A64&lt;=Loan_Calculator!$C$11,-PPMT(Loan_Calculator!$C$10,A64,Loan_Calculator!$C$11,Loan_Calculator!$B$4),0)</f>
        <v>6089.7254918172894</v>
      </c>
      <c r="F64" s="5">
        <f>IF(A64&lt;=Loan_Calculator!$C$11,-IPMT(Loan_Calculator!$C$10,A64,Loan_Calculator!$C$11,Loan_Calculator!$B$4),0)</f>
        <v>15605.85534232106</v>
      </c>
      <c r="G64" s="5">
        <f t="shared" si="0"/>
        <v>2197089.8522476256</v>
      </c>
    </row>
    <row r="65" spans="1:7" x14ac:dyDescent="0.25">
      <c r="A65">
        <v>62</v>
      </c>
      <c r="B65" s="4">
        <f t="shared" si="1"/>
        <v>48092</v>
      </c>
      <c r="C65" s="5">
        <f t="shared" si="2"/>
        <v>2197089.8522476256</v>
      </c>
      <c r="D65" s="5">
        <f>IF(A65&lt;=Loan_Calculator!$C$11,Loan_Calculator!$C$12,0)</f>
        <v>21695.580834138349</v>
      </c>
      <c r="E65" s="5">
        <f>IF(A65&lt;=Loan_Calculator!$C$11,-PPMT(Loan_Calculator!$C$10,A65,Loan_Calculator!$C$11,Loan_Calculator!$B$4),0)</f>
        <v>6132.8610473843291</v>
      </c>
      <c r="F65" s="5">
        <f>IF(A65&lt;=Loan_Calculator!$C$11,-IPMT(Loan_Calculator!$C$10,A65,Loan_Calculator!$C$11,Loan_Calculator!$B$4),0)</f>
        <v>15562.71978675402</v>
      </c>
      <c r="G65" s="5">
        <f t="shared" si="0"/>
        <v>2190956.9912002413</v>
      </c>
    </row>
    <row r="66" spans="1:7" x14ac:dyDescent="0.25">
      <c r="A66">
        <v>63</v>
      </c>
      <c r="B66" s="4">
        <f t="shared" si="1"/>
        <v>48122</v>
      </c>
      <c r="C66" s="5">
        <f t="shared" si="2"/>
        <v>2190956.9912002413</v>
      </c>
      <c r="D66" s="5">
        <f>IF(A66&lt;=Loan_Calculator!$C$11,Loan_Calculator!$C$12,0)</f>
        <v>21695.580834138349</v>
      </c>
      <c r="E66" s="5">
        <f>IF(A66&lt;=Loan_Calculator!$C$11,-PPMT(Loan_Calculator!$C$10,A66,Loan_Calculator!$C$11,Loan_Calculator!$B$4),0)</f>
        <v>6176.3021464699686</v>
      </c>
      <c r="F66" s="5">
        <f>IF(A66&lt;=Loan_Calculator!$C$11,-IPMT(Loan_Calculator!$C$10,A66,Loan_Calculator!$C$11,Loan_Calculator!$B$4),0)</f>
        <v>15519.27868766838</v>
      </c>
      <c r="G66" s="5">
        <f t="shared" si="0"/>
        <v>2184780.6890537711</v>
      </c>
    </row>
    <row r="67" spans="1:7" x14ac:dyDescent="0.25">
      <c r="A67">
        <v>64</v>
      </c>
      <c r="B67" s="4">
        <f t="shared" si="1"/>
        <v>48153</v>
      </c>
      <c r="C67" s="5">
        <f t="shared" si="2"/>
        <v>2184780.6890537711</v>
      </c>
      <c r="D67" s="5">
        <f>IF(A67&lt;=Loan_Calculator!$C$11,Loan_Calculator!$C$12,0)</f>
        <v>21695.580834138349</v>
      </c>
      <c r="E67" s="5">
        <f>IF(A67&lt;=Loan_Calculator!$C$11,-PPMT(Loan_Calculator!$C$10,A67,Loan_Calculator!$C$11,Loan_Calculator!$B$4),0)</f>
        <v>6220.0509533407976</v>
      </c>
      <c r="F67" s="5">
        <f>IF(A67&lt;=Loan_Calculator!$C$11,-IPMT(Loan_Calculator!$C$10,A67,Loan_Calculator!$C$11,Loan_Calculator!$B$4),0)</f>
        <v>15475.529880797551</v>
      </c>
      <c r="G67" s="5">
        <f t="shared" si="0"/>
        <v>2178560.6381004304</v>
      </c>
    </row>
    <row r="68" spans="1:7" x14ac:dyDescent="0.25">
      <c r="A68">
        <v>65</v>
      </c>
      <c r="B68" s="4">
        <f t="shared" si="1"/>
        <v>48183</v>
      </c>
      <c r="C68" s="5">
        <f t="shared" si="2"/>
        <v>2178560.6381004304</v>
      </c>
      <c r="D68" s="5">
        <f>IF(A68&lt;=Loan_Calculator!$C$11,Loan_Calculator!$C$12,0)</f>
        <v>21695.580834138349</v>
      </c>
      <c r="E68" s="5">
        <f>IF(A68&lt;=Loan_Calculator!$C$11,-PPMT(Loan_Calculator!$C$10,A68,Loan_Calculator!$C$11,Loan_Calculator!$B$4),0)</f>
        <v>6264.1096475936274</v>
      </c>
      <c r="F68" s="5">
        <f>IF(A68&lt;=Loan_Calculator!$C$11,-IPMT(Loan_Calculator!$C$10,A68,Loan_Calculator!$C$11,Loan_Calculator!$B$4),0)</f>
        <v>15431.471186544719</v>
      </c>
      <c r="G68" s="5">
        <f t="shared" ref="G68:G131" si="3">MAX(0,C68-E68)</f>
        <v>2172296.5284528369</v>
      </c>
    </row>
    <row r="69" spans="1:7" x14ac:dyDescent="0.25">
      <c r="A69">
        <v>66</v>
      </c>
      <c r="B69" s="4">
        <f t="shared" ref="B69:B132" si="4">EDATE(B68,1)</f>
        <v>48214</v>
      </c>
      <c r="C69" s="5">
        <f t="shared" ref="C69:C132" si="5">G68</f>
        <v>2172296.5284528369</v>
      </c>
      <c r="D69" s="5">
        <f>IF(A69&lt;=Loan_Calculator!$C$11,Loan_Calculator!$C$12,0)</f>
        <v>21695.580834138349</v>
      </c>
      <c r="E69" s="5">
        <f>IF(A69&lt;=Loan_Calculator!$C$11,-PPMT(Loan_Calculator!$C$10,A69,Loan_Calculator!$C$11,Loan_Calculator!$B$4),0)</f>
        <v>6308.480424264083</v>
      </c>
      <c r="F69" s="5">
        <f>IF(A69&lt;=Loan_Calculator!$C$11,-IPMT(Loan_Calculator!$C$10,A69,Loan_Calculator!$C$11,Loan_Calculator!$B$4),0)</f>
        <v>15387.100409874265</v>
      </c>
      <c r="G69" s="5">
        <f t="shared" si="3"/>
        <v>2165988.0480285729</v>
      </c>
    </row>
    <row r="70" spans="1:7" x14ac:dyDescent="0.25">
      <c r="A70">
        <v>67</v>
      </c>
      <c r="B70" s="4">
        <f t="shared" si="4"/>
        <v>48245</v>
      </c>
      <c r="C70" s="5">
        <f t="shared" si="5"/>
        <v>2165988.0480285729</v>
      </c>
      <c r="D70" s="5">
        <f>IF(A70&lt;=Loan_Calculator!$C$11,Loan_Calculator!$C$12,0)</f>
        <v>21695.580834138349</v>
      </c>
      <c r="E70" s="5">
        <f>IF(A70&lt;=Loan_Calculator!$C$11,-PPMT(Loan_Calculator!$C$10,A70,Loan_Calculator!$C$11,Loan_Calculator!$B$4),0)</f>
        <v>6353.1654939359532</v>
      </c>
      <c r="F70" s="5">
        <f>IF(A70&lt;=Loan_Calculator!$C$11,-IPMT(Loan_Calculator!$C$10,A70,Loan_Calculator!$C$11,Loan_Calculator!$B$4),0)</f>
        <v>15342.415340202397</v>
      </c>
      <c r="G70" s="5">
        <f t="shared" si="3"/>
        <v>2159634.8825346371</v>
      </c>
    </row>
    <row r="71" spans="1:7" x14ac:dyDescent="0.25">
      <c r="A71">
        <v>68</v>
      </c>
      <c r="B71" s="4">
        <f t="shared" si="4"/>
        <v>48274</v>
      </c>
      <c r="C71" s="5">
        <f t="shared" si="5"/>
        <v>2159634.8825346371</v>
      </c>
      <c r="D71" s="5">
        <f>IF(A71&lt;=Loan_Calculator!$C$11,Loan_Calculator!$C$12,0)</f>
        <v>21695.580834138349</v>
      </c>
      <c r="E71" s="5">
        <f>IF(A71&lt;=Loan_Calculator!$C$11,-PPMT(Loan_Calculator!$C$10,A71,Loan_Calculator!$C$11,Loan_Calculator!$B$4),0)</f>
        <v>6398.1670828513325</v>
      </c>
      <c r="F71" s="5">
        <f>IF(A71&lt;=Loan_Calculator!$C$11,-IPMT(Loan_Calculator!$C$10,A71,Loan_Calculator!$C$11,Loan_Calculator!$B$4),0)</f>
        <v>15297.413751287015</v>
      </c>
      <c r="G71" s="5">
        <f t="shared" si="3"/>
        <v>2153236.7154517858</v>
      </c>
    </row>
    <row r="72" spans="1:7" x14ac:dyDescent="0.25">
      <c r="A72">
        <v>69</v>
      </c>
      <c r="B72" s="4">
        <f t="shared" si="4"/>
        <v>48305</v>
      </c>
      <c r="C72" s="5">
        <f t="shared" si="5"/>
        <v>2153236.7154517858</v>
      </c>
      <c r="D72" s="5">
        <f>IF(A72&lt;=Loan_Calculator!$C$11,Loan_Calculator!$C$12,0)</f>
        <v>21695.580834138349</v>
      </c>
      <c r="E72" s="5">
        <f>IF(A72&lt;=Loan_Calculator!$C$11,-PPMT(Loan_Calculator!$C$10,A72,Loan_Calculator!$C$11,Loan_Calculator!$B$4),0)</f>
        <v>6443.4874330215289</v>
      </c>
      <c r="F72" s="5">
        <f>IF(A72&lt;=Loan_Calculator!$C$11,-IPMT(Loan_Calculator!$C$10,A72,Loan_Calculator!$C$11,Loan_Calculator!$B$4),0)</f>
        <v>15252.093401116817</v>
      </c>
      <c r="G72" s="5">
        <f t="shared" si="3"/>
        <v>2146793.2280187644</v>
      </c>
    </row>
    <row r="73" spans="1:7" x14ac:dyDescent="0.25">
      <c r="A73">
        <v>70</v>
      </c>
      <c r="B73" s="4">
        <f t="shared" si="4"/>
        <v>48335</v>
      </c>
      <c r="C73" s="5">
        <f t="shared" si="5"/>
        <v>2146793.2280187644</v>
      </c>
      <c r="D73" s="5">
        <f>IF(A73&lt;=Loan_Calculator!$C$11,Loan_Calculator!$C$12,0)</f>
        <v>21695.580834138349</v>
      </c>
      <c r="E73" s="5">
        <f>IF(A73&lt;=Loan_Calculator!$C$11,-PPMT(Loan_Calculator!$C$10,A73,Loan_Calculator!$C$11,Loan_Calculator!$B$4),0)</f>
        <v>6489.1288023387651</v>
      </c>
      <c r="F73" s="5">
        <f>IF(A73&lt;=Loan_Calculator!$C$11,-IPMT(Loan_Calculator!$C$10,A73,Loan_Calculator!$C$11,Loan_Calculator!$B$4),0)</f>
        <v>15206.452031799583</v>
      </c>
      <c r="G73" s="5">
        <f t="shared" si="3"/>
        <v>2140304.0992164258</v>
      </c>
    </row>
    <row r="74" spans="1:7" x14ac:dyDescent="0.25">
      <c r="A74">
        <v>71</v>
      </c>
      <c r="B74" s="4">
        <f t="shared" si="4"/>
        <v>48366</v>
      </c>
      <c r="C74" s="5">
        <f t="shared" si="5"/>
        <v>2140304.0992164258</v>
      </c>
      <c r="D74" s="5">
        <f>IF(A74&lt;=Loan_Calculator!$C$11,Loan_Calculator!$C$12,0)</f>
        <v>21695.580834138349</v>
      </c>
      <c r="E74" s="5">
        <f>IF(A74&lt;=Loan_Calculator!$C$11,-PPMT(Loan_Calculator!$C$10,A74,Loan_Calculator!$C$11,Loan_Calculator!$B$4),0)</f>
        <v>6535.0934646886644</v>
      </c>
      <c r="F74" s="5">
        <f>IF(A74&lt;=Loan_Calculator!$C$11,-IPMT(Loan_Calculator!$C$10,A74,Loan_Calculator!$C$11,Loan_Calculator!$B$4),0)</f>
        <v>15160.487369449684</v>
      </c>
      <c r="G74" s="5">
        <f t="shared" si="3"/>
        <v>2133769.0057517369</v>
      </c>
    </row>
    <row r="75" spans="1:7" x14ac:dyDescent="0.25">
      <c r="A75">
        <v>72</v>
      </c>
      <c r="B75" s="4">
        <f t="shared" si="4"/>
        <v>48396</v>
      </c>
      <c r="C75" s="5">
        <f t="shared" si="5"/>
        <v>2133769.0057517369</v>
      </c>
      <c r="D75" s="5">
        <f>IF(A75&lt;=Loan_Calculator!$C$11,Loan_Calculator!$C$12,0)</f>
        <v>21695.580834138349</v>
      </c>
      <c r="E75" s="5">
        <f>IF(A75&lt;=Loan_Calculator!$C$11,-PPMT(Loan_Calculator!$C$10,A75,Loan_Calculator!$C$11,Loan_Calculator!$B$4),0)</f>
        <v>6581.3837100635419</v>
      </c>
      <c r="F75" s="5">
        <f>IF(A75&lt;=Loan_Calculator!$C$11,-IPMT(Loan_Calculator!$C$10,A75,Loan_Calculator!$C$11,Loan_Calculator!$B$4),0)</f>
        <v>15114.197124074804</v>
      </c>
      <c r="G75" s="5">
        <f t="shared" si="3"/>
        <v>2127187.6220416734</v>
      </c>
    </row>
    <row r="76" spans="1:7" x14ac:dyDescent="0.25">
      <c r="A76">
        <v>73</v>
      </c>
      <c r="B76" s="4">
        <f t="shared" si="4"/>
        <v>48427</v>
      </c>
      <c r="C76" s="5">
        <f t="shared" si="5"/>
        <v>2127187.6220416734</v>
      </c>
      <c r="D76" s="5">
        <f>IF(A76&lt;=Loan_Calculator!$C$11,Loan_Calculator!$C$12,0)</f>
        <v>21695.580834138349</v>
      </c>
      <c r="E76" s="5">
        <f>IF(A76&lt;=Loan_Calculator!$C$11,-PPMT(Loan_Calculator!$C$10,A76,Loan_Calculator!$C$11,Loan_Calculator!$B$4),0)</f>
        <v>6628.0018446764934</v>
      </c>
      <c r="F76" s="5">
        <f>IF(A76&lt;=Loan_Calculator!$C$11,-IPMT(Loan_Calculator!$C$10,A76,Loan_Calculator!$C$11,Loan_Calculator!$B$4),0)</f>
        <v>15067.578989461854</v>
      </c>
      <c r="G76" s="5">
        <f t="shared" si="3"/>
        <v>2120559.6201969967</v>
      </c>
    </row>
    <row r="77" spans="1:7" x14ac:dyDescent="0.25">
      <c r="A77">
        <v>74</v>
      </c>
      <c r="B77" s="4">
        <f t="shared" si="4"/>
        <v>48458</v>
      </c>
      <c r="C77" s="5">
        <f t="shared" si="5"/>
        <v>2120559.6201969967</v>
      </c>
      <c r="D77" s="5">
        <f>IF(A77&lt;=Loan_Calculator!$C$11,Loan_Calculator!$C$12,0)</f>
        <v>21695.580834138349</v>
      </c>
      <c r="E77" s="5">
        <f>IF(A77&lt;=Loan_Calculator!$C$11,-PPMT(Loan_Calculator!$C$10,A77,Loan_Calculator!$C$11,Loan_Calculator!$B$4),0)</f>
        <v>6674.9501910762856</v>
      </c>
      <c r="F77" s="5">
        <f>IF(A77&lt;=Loan_Calculator!$C$11,-IPMT(Loan_Calculator!$C$10,A77,Loan_Calculator!$C$11,Loan_Calculator!$B$4),0)</f>
        <v>15020.630643062061</v>
      </c>
      <c r="G77" s="5">
        <f t="shared" si="3"/>
        <v>2113884.6700059203</v>
      </c>
    </row>
    <row r="78" spans="1:7" x14ac:dyDescent="0.25">
      <c r="A78">
        <v>75</v>
      </c>
      <c r="B78" s="4">
        <f t="shared" si="4"/>
        <v>48488</v>
      </c>
      <c r="C78" s="5">
        <f t="shared" si="5"/>
        <v>2113884.6700059203</v>
      </c>
      <c r="D78" s="5">
        <f>IF(A78&lt;=Loan_Calculator!$C$11,Loan_Calculator!$C$12,0)</f>
        <v>21695.580834138349</v>
      </c>
      <c r="E78" s="5">
        <f>IF(A78&lt;=Loan_Calculator!$C$11,-PPMT(Loan_Calculator!$C$10,A78,Loan_Calculator!$C$11,Loan_Calculator!$B$4),0)</f>
        <v>6722.2310882630745</v>
      </c>
      <c r="F78" s="5">
        <f>IF(A78&lt;=Loan_Calculator!$C$11,-IPMT(Loan_Calculator!$C$10,A78,Loan_Calculator!$C$11,Loan_Calculator!$B$4),0)</f>
        <v>14973.349745875274</v>
      </c>
      <c r="G78" s="5">
        <f t="shared" si="3"/>
        <v>2107162.4389176574</v>
      </c>
    </row>
    <row r="79" spans="1:7" x14ac:dyDescent="0.25">
      <c r="A79">
        <v>76</v>
      </c>
      <c r="B79" s="4">
        <f t="shared" si="4"/>
        <v>48519</v>
      </c>
      <c r="C79" s="5">
        <f t="shared" si="5"/>
        <v>2107162.4389176574</v>
      </c>
      <c r="D79" s="5">
        <f>IF(A79&lt;=Loan_Calculator!$C$11,Loan_Calculator!$C$12,0)</f>
        <v>21695.580834138349</v>
      </c>
      <c r="E79" s="5">
        <f>IF(A79&lt;=Loan_Calculator!$C$11,-PPMT(Loan_Calculator!$C$10,A79,Loan_Calculator!$C$11,Loan_Calculator!$B$4),0)</f>
        <v>6769.8468918049393</v>
      </c>
      <c r="F79" s="5">
        <f>IF(A79&lt;=Loan_Calculator!$C$11,-IPMT(Loan_Calculator!$C$10,A79,Loan_Calculator!$C$11,Loan_Calculator!$B$4),0)</f>
        <v>14925.733942333411</v>
      </c>
      <c r="G79" s="5">
        <f t="shared" si="3"/>
        <v>2100392.5920258523</v>
      </c>
    </row>
    <row r="80" spans="1:7" x14ac:dyDescent="0.25">
      <c r="A80">
        <v>77</v>
      </c>
      <c r="B80" s="4">
        <f t="shared" si="4"/>
        <v>48549</v>
      </c>
      <c r="C80" s="5">
        <f t="shared" si="5"/>
        <v>2100392.5920258523</v>
      </c>
      <c r="D80" s="5">
        <f>IF(A80&lt;=Loan_Calculator!$C$11,Loan_Calculator!$C$12,0)</f>
        <v>21695.580834138349</v>
      </c>
      <c r="E80" s="5">
        <f>IF(A80&lt;=Loan_Calculator!$C$11,-PPMT(Loan_Calculator!$C$10,A80,Loan_Calculator!$C$11,Loan_Calculator!$B$4),0)</f>
        <v>6817.7999739552233</v>
      </c>
      <c r="F80" s="5">
        <f>IF(A80&lt;=Loan_Calculator!$C$11,-IPMT(Loan_Calculator!$C$10,A80,Loan_Calculator!$C$11,Loan_Calculator!$B$4),0)</f>
        <v>14877.780860183126</v>
      </c>
      <c r="G80" s="5">
        <f t="shared" si="3"/>
        <v>2093574.7920518972</v>
      </c>
    </row>
    <row r="81" spans="1:7" x14ac:dyDescent="0.25">
      <c r="A81">
        <v>78</v>
      </c>
      <c r="B81" s="4">
        <f t="shared" si="4"/>
        <v>48580</v>
      </c>
      <c r="C81" s="5">
        <f t="shared" si="5"/>
        <v>2093574.7920518972</v>
      </c>
      <c r="D81" s="5">
        <f>IF(A81&lt;=Loan_Calculator!$C$11,Loan_Calculator!$C$12,0)</f>
        <v>21695.580834138349</v>
      </c>
      <c r="E81" s="5">
        <f>IF(A81&lt;=Loan_Calculator!$C$11,-PPMT(Loan_Calculator!$C$10,A81,Loan_Calculator!$C$11,Loan_Calculator!$B$4),0)</f>
        <v>6866.0927237707401</v>
      </c>
      <c r="F81" s="5">
        <f>IF(A81&lt;=Loan_Calculator!$C$11,-IPMT(Loan_Calculator!$C$10,A81,Loan_Calculator!$C$11,Loan_Calculator!$B$4),0)</f>
        <v>14829.488110367609</v>
      </c>
      <c r="G81" s="5">
        <f t="shared" si="3"/>
        <v>2086708.6993281264</v>
      </c>
    </row>
    <row r="82" spans="1:7" x14ac:dyDescent="0.25">
      <c r="A82">
        <v>79</v>
      </c>
      <c r="B82" s="4">
        <f t="shared" si="4"/>
        <v>48611</v>
      </c>
      <c r="C82" s="5">
        <f t="shared" si="5"/>
        <v>2086708.6993281264</v>
      </c>
      <c r="D82" s="5">
        <f>IF(A82&lt;=Loan_Calculator!$C$11,Loan_Calculator!$C$12,0)</f>
        <v>21695.580834138349</v>
      </c>
      <c r="E82" s="5">
        <f>IF(A82&lt;=Loan_Calculator!$C$11,-PPMT(Loan_Calculator!$C$10,A82,Loan_Calculator!$C$11,Loan_Calculator!$B$4),0)</f>
        <v>6914.7275472307829</v>
      </c>
      <c r="F82" s="5">
        <f>IF(A82&lt;=Loan_Calculator!$C$11,-IPMT(Loan_Calculator!$C$10,A82,Loan_Calculator!$C$11,Loan_Calculator!$B$4),0)</f>
        <v>14780.853286907564</v>
      </c>
      <c r="G82" s="5">
        <f t="shared" si="3"/>
        <v>2079793.9717808955</v>
      </c>
    </row>
    <row r="83" spans="1:7" x14ac:dyDescent="0.25">
      <c r="A83">
        <v>80</v>
      </c>
      <c r="B83" s="4">
        <f t="shared" si="4"/>
        <v>48639</v>
      </c>
      <c r="C83" s="5">
        <f t="shared" si="5"/>
        <v>2079793.9717808955</v>
      </c>
      <c r="D83" s="5">
        <f>IF(A83&lt;=Loan_Calculator!$C$11,Loan_Calculator!$C$12,0)</f>
        <v>21695.580834138349</v>
      </c>
      <c r="E83" s="5">
        <f>IF(A83&lt;=Loan_Calculator!$C$11,-PPMT(Loan_Calculator!$C$10,A83,Loan_Calculator!$C$11,Loan_Calculator!$B$4),0)</f>
        <v>6963.7068673570002</v>
      </c>
      <c r="F83" s="5">
        <f>IF(A83&lt;=Loan_Calculator!$C$11,-IPMT(Loan_Calculator!$C$10,A83,Loan_Calculator!$C$11,Loan_Calculator!$B$4),0)</f>
        <v>14731.87396678135</v>
      </c>
      <c r="G83" s="5">
        <f t="shared" si="3"/>
        <v>2072830.2649135385</v>
      </c>
    </row>
    <row r="84" spans="1:7" x14ac:dyDescent="0.25">
      <c r="A84">
        <v>81</v>
      </c>
      <c r="B84" s="4">
        <f t="shared" si="4"/>
        <v>48670</v>
      </c>
      <c r="C84" s="5">
        <f t="shared" si="5"/>
        <v>2072830.2649135385</v>
      </c>
      <c r="D84" s="5">
        <f>IF(A84&lt;=Loan_Calculator!$C$11,Loan_Calculator!$C$12,0)</f>
        <v>21695.580834138349</v>
      </c>
      <c r="E84" s="5">
        <f>IF(A84&lt;=Loan_Calculator!$C$11,-PPMT(Loan_Calculator!$C$10,A84,Loan_Calculator!$C$11,Loan_Calculator!$B$4),0)</f>
        <v>7013.0331243341134</v>
      </c>
      <c r="F84" s="5">
        <f>IF(A84&lt;=Loan_Calculator!$C$11,-IPMT(Loan_Calculator!$C$10,A84,Loan_Calculator!$C$11,Loan_Calculator!$B$4),0)</f>
        <v>14682.547709804237</v>
      </c>
      <c r="G84" s="5">
        <f t="shared" si="3"/>
        <v>2065817.2317892043</v>
      </c>
    </row>
    <row r="85" spans="1:7" x14ac:dyDescent="0.25">
      <c r="A85">
        <v>82</v>
      </c>
      <c r="B85" s="4">
        <f t="shared" si="4"/>
        <v>48700</v>
      </c>
      <c r="C85" s="5">
        <f t="shared" si="5"/>
        <v>2065817.2317892043</v>
      </c>
      <c r="D85" s="5">
        <f>IF(A85&lt;=Loan_Calculator!$C$11,Loan_Calculator!$C$12,0)</f>
        <v>21695.580834138349</v>
      </c>
      <c r="E85" s="5">
        <f>IF(A85&lt;=Loan_Calculator!$C$11,-PPMT(Loan_Calculator!$C$10,A85,Loan_Calculator!$C$11,Loan_Calculator!$B$4),0)</f>
        <v>7062.7087756314786</v>
      </c>
      <c r="F85" s="5">
        <f>IF(A85&lt;=Loan_Calculator!$C$11,-IPMT(Loan_Calculator!$C$10,A85,Loan_Calculator!$C$11,Loan_Calculator!$B$4),0)</f>
        <v>14632.87205850687</v>
      </c>
      <c r="G85" s="5">
        <f t="shared" si="3"/>
        <v>2058754.5230135729</v>
      </c>
    </row>
    <row r="86" spans="1:7" x14ac:dyDescent="0.25">
      <c r="A86">
        <v>83</v>
      </c>
      <c r="B86" s="4">
        <f t="shared" si="4"/>
        <v>48731</v>
      </c>
      <c r="C86" s="5">
        <f t="shared" si="5"/>
        <v>2058754.5230135729</v>
      </c>
      <c r="D86" s="5">
        <f>IF(A86&lt;=Loan_Calculator!$C$11,Loan_Calculator!$C$12,0)</f>
        <v>21695.580834138349</v>
      </c>
      <c r="E86" s="5">
        <f>IF(A86&lt;=Loan_Calculator!$C$11,-PPMT(Loan_Calculator!$C$10,A86,Loan_Calculator!$C$11,Loan_Calculator!$B$4),0)</f>
        <v>7112.7362961255358</v>
      </c>
      <c r="F86" s="5">
        <f>IF(A86&lt;=Loan_Calculator!$C$11,-IPMT(Loan_Calculator!$C$10,A86,Loan_Calculator!$C$11,Loan_Calculator!$B$4),0)</f>
        <v>14582.844538012812</v>
      </c>
      <c r="G86" s="5">
        <f t="shared" si="3"/>
        <v>2051641.7867174475</v>
      </c>
    </row>
    <row r="87" spans="1:7" x14ac:dyDescent="0.25">
      <c r="A87">
        <v>84</v>
      </c>
      <c r="B87" s="4">
        <f t="shared" si="4"/>
        <v>48761</v>
      </c>
      <c r="C87" s="5">
        <f t="shared" si="5"/>
        <v>2051641.7867174475</v>
      </c>
      <c r="D87" s="5">
        <f>IF(A87&lt;=Loan_Calculator!$C$11,Loan_Calculator!$C$12,0)</f>
        <v>21695.580834138349</v>
      </c>
      <c r="E87" s="5">
        <f>IF(A87&lt;=Loan_Calculator!$C$11,-PPMT(Loan_Calculator!$C$10,A87,Loan_Calculator!$C$11,Loan_Calculator!$B$4),0)</f>
        <v>7163.1181782230915</v>
      </c>
      <c r="F87" s="5">
        <f>IF(A87&lt;=Loan_Calculator!$C$11,-IPMT(Loan_Calculator!$C$10,A87,Loan_Calculator!$C$11,Loan_Calculator!$B$4),0)</f>
        <v>14532.462655915255</v>
      </c>
      <c r="G87" s="5">
        <f t="shared" si="3"/>
        <v>2044478.6685392244</v>
      </c>
    </row>
    <row r="88" spans="1:7" x14ac:dyDescent="0.25">
      <c r="A88">
        <v>85</v>
      </c>
      <c r="B88" s="4">
        <f t="shared" si="4"/>
        <v>48792</v>
      </c>
      <c r="C88" s="5">
        <f t="shared" si="5"/>
        <v>2044478.6685392244</v>
      </c>
      <c r="D88" s="5">
        <f>IF(A88&lt;=Loan_Calculator!$C$11,Loan_Calculator!$C$12,0)</f>
        <v>21695.580834138349</v>
      </c>
      <c r="E88" s="5">
        <f>IF(A88&lt;=Loan_Calculator!$C$11,-PPMT(Loan_Calculator!$C$10,A88,Loan_Calculator!$C$11,Loan_Calculator!$B$4),0)</f>
        <v>7213.856931985506</v>
      </c>
      <c r="F88" s="5">
        <f>IF(A88&lt;=Loan_Calculator!$C$11,-IPMT(Loan_Calculator!$C$10,A88,Loan_Calculator!$C$11,Loan_Calculator!$B$4),0)</f>
        <v>14481.723902152842</v>
      </c>
      <c r="G88" s="5">
        <f t="shared" si="3"/>
        <v>2037264.8116072388</v>
      </c>
    </row>
    <row r="89" spans="1:7" x14ac:dyDescent="0.25">
      <c r="A89">
        <v>86</v>
      </c>
      <c r="B89" s="4">
        <f t="shared" si="4"/>
        <v>48823</v>
      </c>
      <c r="C89" s="5">
        <f t="shared" si="5"/>
        <v>2037264.8116072388</v>
      </c>
      <c r="D89" s="5">
        <f>IF(A89&lt;=Loan_Calculator!$C$11,Loan_Calculator!$C$12,0)</f>
        <v>21695.580834138349</v>
      </c>
      <c r="E89" s="5">
        <f>IF(A89&lt;=Loan_Calculator!$C$11,-PPMT(Loan_Calculator!$C$10,A89,Loan_Calculator!$C$11,Loan_Calculator!$B$4),0)</f>
        <v>7264.9550852537359</v>
      </c>
      <c r="F89" s="5">
        <f>IF(A89&lt;=Loan_Calculator!$C$11,-IPMT(Loan_Calculator!$C$10,A89,Loan_Calculator!$C$11,Loan_Calculator!$B$4),0)</f>
        <v>14430.625748884613</v>
      </c>
      <c r="G89" s="5">
        <f t="shared" si="3"/>
        <v>2029999.856521985</v>
      </c>
    </row>
    <row r="90" spans="1:7" x14ac:dyDescent="0.25">
      <c r="A90">
        <v>87</v>
      </c>
      <c r="B90" s="4">
        <f t="shared" si="4"/>
        <v>48853</v>
      </c>
      <c r="C90" s="5">
        <f t="shared" si="5"/>
        <v>2029999.856521985</v>
      </c>
      <c r="D90" s="5">
        <f>IF(A90&lt;=Loan_Calculator!$C$11,Loan_Calculator!$C$12,0)</f>
        <v>21695.580834138349</v>
      </c>
      <c r="E90" s="5">
        <f>IF(A90&lt;=Loan_Calculator!$C$11,-PPMT(Loan_Calculator!$C$10,A90,Loan_Calculator!$C$11,Loan_Calculator!$B$4),0)</f>
        <v>7316.4151837742829</v>
      </c>
      <c r="F90" s="5">
        <f>IF(A90&lt;=Loan_Calculator!$C$11,-IPMT(Loan_Calculator!$C$10,A90,Loan_Calculator!$C$11,Loan_Calculator!$B$4),0)</f>
        <v>14379.165650364062</v>
      </c>
      <c r="G90" s="5">
        <f t="shared" si="3"/>
        <v>2022683.4413382108</v>
      </c>
    </row>
    <row r="91" spans="1:7" x14ac:dyDescent="0.25">
      <c r="A91">
        <v>88</v>
      </c>
      <c r="B91" s="4">
        <f t="shared" si="4"/>
        <v>48884</v>
      </c>
      <c r="C91" s="5">
        <f t="shared" si="5"/>
        <v>2022683.4413382108</v>
      </c>
      <c r="D91" s="5">
        <f>IF(A91&lt;=Loan_Calculator!$C$11,Loan_Calculator!$C$12,0)</f>
        <v>21695.580834138349</v>
      </c>
      <c r="E91" s="5">
        <f>IF(A91&lt;=Loan_Calculator!$C$11,-PPMT(Loan_Calculator!$C$10,A91,Loan_Calculator!$C$11,Loan_Calculator!$B$4),0)</f>
        <v>7368.2397913260174</v>
      </c>
      <c r="F91" s="5">
        <f>IF(A91&lt;=Loan_Calculator!$C$11,-IPMT(Loan_Calculator!$C$10,A91,Loan_Calculator!$C$11,Loan_Calculator!$B$4),0)</f>
        <v>14327.341042812332</v>
      </c>
      <c r="G91" s="5">
        <f t="shared" si="3"/>
        <v>2015315.2015468848</v>
      </c>
    </row>
    <row r="92" spans="1:7" x14ac:dyDescent="0.25">
      <c r="A92">
        <v>89</v>
      </c>
      <c r="B92" s="4">
        <f t="shared" si="4"/>
        <v>48914</v>
      </c>
      <c r="C92" s="5">
        <f t="shared" si="5"/>
        <v>2015315.2015468848</v>
      </c>
      <c r="D92" s="5">
        <f>IF(A92&lt;=Loan_Calculator!$C$11,Loan_Calculator!$C$12,0)</f>
        <v>21695.580834138349</v>
      </c>
      <c r="E92" s="5">
        <f>IF(A92&lt;=Loan_Calculator!$C$11,-PPMT(Loan_Calculator!$C$10,A92,Loan_Calculator!$C$11,Loan_Calculator!$B$4),0)</f>
        <v>7420.4314898479106</v>
      </c>
      <c r="F92" s="5">
        <f>IF(A92&lt;=Loan_Calculator!$C$11,-IPMT(Loan_Calculator!$C$10,A92,Loan_Calculator!$C$11,Loan_Calculator!$B$4),0)</f>
        <v>14275.149344290438</v>
      </c>
      <c r="G92" s="5">
        <f t="shared" si="3"/>
        <v>2007894.770057037</v>
      </c>
    </row>
    <row r="93" spans="1:7" x14ac:dyDescent="0.25">
      <c r="A93">
        <v>90</v>
      </c>
      <c r="B93" s="4">
        <f t="shared" si="4"/>
        <v>48945</v>
      </c>
      <c r="C93" s="5">
        <f t="shared" si="5"/>
        <v>2007894.770057037</v>
      </c>
      <c r="D93" s="5">
        <f>IF(A93&lt;=Loan_Calculator!$C$11,Loan_Calculator!$C$12,0)</f>
        <v>21695.580834138349</v>
      </c>
      <c r="E93" s="5">
        <f>IF(A93&lt;=Loan_Calculator!$C$11,-PPMT(Loan_Calculator!$C$10,A93,Loan_Calculator!$C$11,Loan_Calculator!$B$4),0)</f>
        <v>7472.9928795676669</v>
      </c>
      <c r="F93" s="5">
        <f>IF(A93&lt;=Loan_Calculator!$C$11,-IPMT(Loan_Calculator!$C$10,A93,Loan_Calculator!$C$11,Loan_Calculator!$B$4),0)</f>
        <v>14222.587954570681</v>
      </c>
      <c r="G93" s="5">
        <f t="shared" si="3"/>
        <v>2000421.7771774693</v>
      </c>
    </row>
    <row r="94" spans="1:7" x14ac:dyDescent="0.25">
      <c r="A94">
        <v>91</v>
      </c>
      <c r="B94" s="4">
        <f t="shared" si="4"/>
        <v>48976</v>
      </c>
      <c r="C94" s="5">
        <f t="shared" si="5"/>
        <v>2000421.7771774693</v>
      </c>
      <c r="D94" s="5">
        <f>IF(A94&lt;=Loan_Calculator!$C$11,Loan_Calculator!$C$12,0)</f>
        <v>21695.580834138349</v>
      </c>
      <c r="E94" s="5">
        <f>IF(A94&lt;=Loan_Calculator!$C$11,-PPMT(Loan_Calculator!$C$10,A94,Loan_Calculator!$C$11,Loan_Calculator!$B$4),0)</f>
        <v>7525.9265791312691</v>
      </c>
      <c r="F94" s="5">
        <f>IF(A94&lt;=Loan_Calculator!$C$11,-IPMT(Loan_Calculator!$C$10,A94,Loan_Calculator!$C$11,Loan_Calculator!$B$4),0)</f>
        <v>14169.654255007077</v>
      </c>
      <c r="G94" s="5">
        <f t="shared" si="3"/>
        <v>1992895.8505983381</v>
      </c>
    </row>
    <row r="95" spans="1:7" x14ac:dyDescent="0.25">
      <c r="A95">
        <v>92</v>
      </c>
      <c r="B95" s="4">
        <f t="shared" si="4"/>
        <v>49004</v>
      </c>
      <c r="C95" s="5">
        <f t="shared" si="5"/>
        <v>1992895.8505983381</v>
      </c>
      <c r="D95" s="5">
        <f>IF(A95&lt;=Loan_Calculator!$C$11,Loan_Calculator!$C$12,0)</f>
        <v>21695.580834138349</v>
      </c>
      <c r="E95" s="5">
        <f>IF(A95&lt;=Loan_Calculator!$C$11,-PPMT(Loan_Calculator!$C$10,A95,Loan_Calculator!$C$11,Loan_Calculator!$B$4),0)</f>
        <v>7579.2352257334496</v>
      </c>
      <c r="F95" s="5">
        <f>IF(A95&lt;=Loan_Calculator!$C$11,-IPMT(Loan_Calculator!$C$10,A95,Loan_Calculator!$C$11,Loan_Calculator!$B$4),0)</f>
        <v>14116.345608404899</v>
      </c>
      <c r="G95" s="5">
        <f t="shared" si="3"/>
        <v>1985316.6153726047</v>
      </c>
    </row>
    <row r="96" spans="1:7" x14ac:dyDescent="0.25">
      <c r="A96">
        <v>93</v>
      </c>
      <c r="B96" s="4">
        <f t="shared" si="4"/>
        <v>49035</v>
      </c>
      <c r="C96" s="5">
        <f t="shared" si="5"/>
        <v>1985316.6153726047</v>
      </c>
      <c r="D96" s="5">
        <f>IF(A96&lt;=Loan_Calculator!$C$11,Loan_Calculator!$C$12,0)</f>
        <v>21695.580834138349</v>
      </c>
      <c r="E96" s="5">
        <f>IF(A96&lt;=Loan_Calculator!$C$11,-PPMT(Loan_Calculator!$C$10,A96,Loan_Calculator!$C$11,Loan_Calculator!$B$4),0)</f>
        <v>7632.9214752490643</v>
      </c>
      <c r="F96" s="5">
        <f>IF(A96&lt;=Loan_Calculator!$C$11,-IPMT(Loan_Calculator!$C$10,A96,Loan_Calculator!$C$11,Loan_Calculator!$B$4),0)</f>
        <v>14062.659358889285</v>
      </c>
      <c r="G96" s="5">
        <f t="shared" si="3"/>
        <v>1977683.6938973556</v>
      </c>
    </row>
    <row r="97" spans="1:7" x14ac:dyDescent="0.25">
      <c r="A97">
        <v>94</v>
      </c>
      <c r="B97" s="4">
        <f t="shared" si="4"/>
        <v>49065</v>
      </c>
      <c r="C97" s="5">
        <f t="shared" si="5"/>
        <v>1977683.6938973556</v>
      </c>
      <c r="D97" s="5">
        <f>IF(A97&lt;=Loan_Calculator!$C$11,Loan_Calculator!$C$12,0)</f>
        <v>21695.580834138349</v>
      </c>
      <c r="E97" s="5">
        <f>IF(A97&lt;=Loan_Calculator!$C$11,-PPMT(Loan_Calculator!$C$10,A97,Loan_Calculator!$C$11,Loan_Calculator!$B$4),0)</f>
        <v>7686.9880023654105</v>
      </c>
      <c r="F97" s="5">
        <f>IF(A97&lt;=Loan_Calculator!$C$11,-IPMT(Loan_Calculator!$C$10,A97,Loan_Calculator!$C$11,Loan_Calculator!$B$4),0)</f>
        <v>14008.592831772938</v>
      </c>
      <c r="G97" s="5">
        <f t="shared" si="3"/>
        <v>1969996.7058949901</v>
      </c>
    </row>
    <row r="98" spans="1:7" x14ac:dyDescent="0.25">
      <c r="A98">
        <v>95</v>
      </c>
      <c r="B98" s="4">
        <f t="shared" si="4"/>
        <v>49096</v>
      </c>
      <c r="C98" s="5">
        <f t="shared" si="5"/>
        <v>1969996.7058949901</v>
      </c>
      <c r="D98" s="5">
        <f>IF(A98&lt;=Loan_Calculator!$C$11,Loan_Calculator!$C$12,0)</f>
        <v>21695.580834138349</v>
      </c>
      <c r="E98" s="5">
        <f>IF(A98&lt;=Loan_Calculator!$C$11,-PPMT(Loan_Calculator!$C$10,A98,Loan_Calculator!$C$11,Loan_Calculator!$B$4),0)</f>
        <v>7741.4375007154986</v>
      </c>
      <c r="F98" s="5">
        <f>IF(A98&lt;=Loan_Calculator!$C$11,-IPMT(Loan_Calculator!$C$10,A98,Loan_Calculator!$C$11,Loan_Calculator!$B$4),0)</f>
        <v>13954.143333422851</v>
      </c>
      <c r="G98" s="5">
        <f t="shared" si="3"/>
        <v>1962255.2683942746</v>
      </c>
    </row>
    <row r="99" spans="1:7" x14ac:dyDescent="0.25">
      <c r="A99">
        <v>96</v>
      </c>
      <c r="B99" s="4">
        <f t="shared" si="4"/>
        <v>49126</v>
      </c>
      <c r="C99" s="5">
        <f t="shared" si="5"/>
        <v>1962255.2683942746</v>
      </c>
      <c r="D99" s="5">
        <f>IF(A99&lt;=Loan_Calculator!$C$11,Loan_Calculator!$C$12,0)</f>
        <v>21695.580834138349</v>
      </c>
      <c r="E99" s="5">
        <f>IF(A99&lt;=Loan_Calculator!$C$11,-PPMT(Loan_Calculator!$C$10,A99,Loan_Calculator!$C$11,Loan_Calculator!$B$4),0)</f>
        <v>7796.2726830122338</v>
      </c>
      <c r="F99" s="5">
        <f>IF(A99&lt;=Loan_Calculator!$C$11,-IPMT(Loan_Calculator!$C$10,A99,Loan_Calculator!$C$11,Loan_Calculator!$B$4),0)</f>
        <v>13899.308151126115</v>
      </c>
      <c r="G99" s="5">
        <f t="shared" si="3"/>
        <v>1954458.9957112623</v>
      </c>
    </row>
    <row r="100" spans="1:7" x14ac:dyDescent="0.25">
      <c r="A100">
        <v>97</v>
      </c>
      <c r="B100" s="4">
        <f t="shared" si="4"/>
        <v>49157</v>
      </c>
      <c r="C100" s="5">
        <f t="shared" si="5"/>
        <v>1954458.9957112623</v>
      </c>
      <c r="D100" s="5">
        <f>IF(A100&lt;=Loan_Calculator!$C$11,Loan_Calculator!$C$12,0)</f>
        <v>21695.580834138349</v>
      </c>
      <c r="E100" s="5">
        <f>IF(A100&lt;=Loan_Calculator!$C$11,-PPMT(Loan_Calculator!$C$10,A100,Loan_Calculator!$C$11,Loan_Calculator!$B$4),0)</f>
        <v>7851.4962811835694</v>
      </c>
      <c r="F100" s="5">
        <f>IF(A100&lt;=Loan_Calculator!$C$11,-IPMT(Loan_Calculator!$C$10,A100,Loan_Calculator!$C$11,Loan_Calculator!$B$4),0)</f>
        <v>13844.084552954779</v>
      </c>
      <c r="G100" s="5">
        <f t="shared" si="3"/>
        <v>1946607.4994300788</v>
      </c>
    </row>
    <row r="101" spans="1:7" x14ac:dyDescent="0.25">
      <c r="A101">
        <v>98</v>
      </c>
      <c r="B101" s="4">
        <f t="shared" si="4"/>
        <v>49188</v>
      </c>
      <c r="C101" s="5">
        <f t="shared" si="5"/>
        <v>1946607.4994300788</v>
      </c>
      <c r="D101" s="5">
        <f>IF(A101&lt;=Loan_Calculator!$C$11,Loan_Calculator!$C$12,0)</f>
        <v>21695.580834138349</v>
      </c>
      <c r="E101" s="5">
        <f>IF(A101&lt;=Loan_Calculator!$C$11,-PPMT(Loan_Calculator!$C$10,A101,Loan_Calculator!$C$11,Loan_Calculator!$B$4),0)</f>
        <v>7907.1110465086194</v>
      </c>
      <c r="F101" s="5">
        <f>IF(A101&lt;=Loan_Calculator!$C$11,-IPMT(Loan_Calculator!$C$10,A101,Loan_Calculator!$C$11,Loan_Calculator!$B$4),0)</f>
        <v>13788.469787629729</v>
      </c>
      <c r="G101" s="5">
        <f t="shared" si="3"/>
        <v>1938700.3883835701</v>
      </c>
    </row>
    <row r="102" spans="1:7" x14ac:dyDescent="0.25">
      <c r="A102">
        <v>99</v>
      </c>
      <c r="B102" s="4">
        <f t="shared" si="4"/>
        <v>49218</v>
      </c>
      <c r="C102" s="5">
        <f t="shared" si="5"/>
        <v>1938700.3883835701</v>
      </c>
      <c r="D102" s="5">
        <f>IF(A102&lt;=Loan_Calculator!$C$11,Loan_Calculator!$C$12,0)</f>
        <v>21695.580834138349</v>
      </c>
      <c r="E102" s="5">
        <f>IF(A102&lt;=Loan_Calculator!$C$11,-PPMT(Loan_Calculator!$C$10,A102,Loan_Calculator!$C$11,Loan_Calculator!$B$4),0)</f>
        <v>7963.1197497547219</v>
      </c>
      <c r="F102" s="5">
        <f>IF(A102&lt;=Loan_Calculator!$C$11,-IPMT(Loan_Calculator!$C$10,A102,Loan_Calculator!$C$11,Loan_Calculator!$B$4),0)</f>
        <v>13732.461084383625</v>
      </c>
      <c r="G102" s="5">
        <f t="shared" si="3"/>
        <v>1930737.2686338155</v>
      </c>
    </row>
    <row r="103" spans="1:7" x14ac:dyDescent="0.25">
      <c r="A103">
        <v>100</v>
      </c>
      <c r="B103" s="4">
        <f t="shared" si="4"/>
        <v>49249</v>
      </c>
      <c r="C103" s="5">
        <f t="shared" si="5"/>
        <v>1930737.2686338155</v>
      </c>
      <c r="D103" s="5">
        <f>IF(A103&lt;=Loan_Calculator!$C$11,Loan_Calculator!$C$12,0)</f>
        <v>21695.580834138349</v>
      </c>
      <c r="E103" s="5">
        <f>IF(A103&lt;=Loan_Calculator!$C$11,-PPMT(Loan_Calculator!$C$10,A103,Loan_Calculator!$C$11,Loan_Calculator!$B$4),0)</f>
        <v>8019.5251813154846</v>
      </c>
      <c r="F103" s="5">
        <f>IF(A103&lt;=Loan_Calculator!$C$11,-IPMT(Loan_Calculator!$C$10,A103,Loan_Calculator!$C$11,Loan_Calculator!$B$4),0)</f>
        <v>13676.055652822863</v>
      </c>
      <c r="G103" s="5">
        <f t="shared" si="3"/>
        <v>1922717.7434525001</v>
      </c>
    </row>
    <row r="104" spans="1:7" x14ac:dyDescent="0.25">
      <c r="A104">
        <v>101</v>
      </c>
      <c r="B104" s="4">
        <f t="shared" si="4"/>
        <v>49279</v>
      </c>
      <c r="C104" s="5">
        <f t="shared" si="5"/>
        <v>1922717.7434525001</v>
      </c>
      <c r="D104" s="5">
        <f>IF(A104&lt;=Loan_Calculator!$C$11,Loan_Calculator!$C$12,0)</f>
        <v>21695.580834138349</v>
      </c>
      <c r="E104" s="5">
        <f>IF(A104&lt;=Loan_Calculator!$C$11,-PPMT(Loan_Calculator!$C$10,A104,Loan_Calculator!$C$11,Loan_Calculator!$B$4),0)</f>
        <v>8076.3301513498036</v>
      </c>
      <c r="F104" s="5">
        <f>IF(A104&lt;=Loan_Calculator!$C$11,-IPMT(Loan_Calculator!$C$10,A104,Loan_Calculator!$C$11,Loan_Calculator!$B$4),0)</f>
        <v>13619.250682788545</v>
      </c>
      <c r="G104" s="5">
        <f t="shared" si="3"/>
        <v>1914641.4133011503</v>
      </c>
    </row>
    <row r="105" spans="1:7" x14ac:dyDescent="0.25">
      <c r="A105">
        <v>102</v>
      </c>
      <c r="B105" s="4">
        <f t="shared" si="4"/>
        <v>49310</v>
      </c>
      <c r="C105" s="5">
        <f t="shared" si="5"/>
        <v>1914641.4133011503</v>
      </c>
      <c r="D105" s="5">
        <f>IF(A105&lt;=Loan_Calculator!$C$11,Loan_Calculator!$C$12,0)</f>
        <v>21695.580834138349</v>
      </c>
      <c r="E105" s="5">
        <f>IF(A105&lt;=Loan_Calculator!$C$11,-PPMT(Loan_Calculator!$C$10,A105,Loan_Calculator!$C$11,Loan_Calculator!$B$4),0)</f>
        <v>8133.5374899218641</v>
      </c>
      <c r="F105" s="5">
        <f>IF(A105&lt;=Loan_Calculator!$C$11,-IPMT(Loan_Calculator!$C$10,A105,Loan_Calculator!$C$11,Loan_Calculator!$B$4),0)</f>
        <v>13562.043344216485</v>
      </c>
      <c r="G105" s="5">
        <f t="shared" si="3"/>
        <v>1906507.8758112285</v>
      </c>
    </row>
    <row r="106" spans="1:7" x14ac:dyDescent="0.25">
      <c r="A106">
        <v>103</v>
      </c>
      <c r="B106" s="4">
        <f t="shared" si="4"/>
        <v>49341</v>
      </c>
      <c r="C106" s="5">
        <f t="shared" si="5"/>
        <v>1906507.8758112285</v>
      </c>
      <c r="D106" s="5">
        <f>IF(A106&lt;=Loan_Calculator!$C$11,Loan_Calculator!$C$12,0)</f>
        <v>21695.580834138349</v>
      </c>
      <c r="E106" s="5">
        <f>IF(A106&lt;=Loan_Calculator!$C$11,-PPMT(Loan_Calculator!$C$10,A106,Loan_Calculator!$C$11,Loan_Calculator!$B$4),0)</f>
        <v>8191.1500471421432</v>
      </c>
      <c r="F106" s="5">
        <f>IF(A106&lt;=Loan_Calculator!$C$11,-IPMT(Loan_Calculator!$C$10,A106,Loan_Calculator!$C$11,Loan_Calculator!$B$4),0)</f>
        <v>13504.430786996205</v>
      </c>
      <c r="G106" s="5">
        <f t="shared" si="3"/>
        <v>1898316.7257640865</v>
      </c>
    </row>
    <row r="107" spans="1:7" x14ac:dyDescent="0.25">
      <c r="A107">
        <v>104</v>
      </c>
      <c r="B107" s="4">
        <f t="shared" si="4"/>
        <v>49369</v>
      </c>
      <c r="C107" s="5">
        <f t="shared" si="5"/>
        <v>1898316.7257640865</v>
      </c>
      <c r="D107" s="5">
        <f>IF(A107&lt;=Loan_Calculator!$C$11,Loan_Calculator!$C$12,0)</f>
        <v>21695.580834138349</v>
      </c>
      <c r="E107" s="5">
        <f>IF(A107&lt;=Loan_Calculator!$C$11,-PPMT(Loan_Calculator!$C$10,A107,Loan_Calculator!$C$11,Loan_Calculator!$B$4),0)</f>
        <v>8249.170693309401</v>
      </c>
      <c r="F107" s="5">
        <f>IF(A107&lt;=Loan_Calculator!$C$11,-IPMT(Loan_Calculator!$C$10,A107,Loan_Calculator!$C$11,Loan_Calculator!$B$4),0)</f>
        <v>13446.410140828946</v>
      </c>
      <c r="G107" s="5">
        <f t="shared" si="3"/>
        <v>1890067.555070777</v>
      </c>
    </row>
    <row r="108" spans="1:7" x14ac:dyDescent="0.25">
      <c r="A108">
        <v>105</v>
      </c>
      <c r="B108" s="4">
        <f t="shared" si="4"/>
        <v>49400</v>
      </c>
      <c r="C108" s="5">
        <f t="shared" si="5"/>
        <v>1890067.555070777</v>
      </c>
      <c r="D108" s="5">
        <f>IF(A108&lt;=Loan_Calculator!$C$11,Loan_Calculator!$C$12,0)</f>
        <v>21695.580834138349</v>
      </c>
      <c r="E108" s="5">
        <f>IF(A108&lt;=Loan_Calculator!$C$11,-PPMT(Loan_Calculator!$C$10,A108,Loan_Calculator!$C$11,Loan_Calculator!$B$4),0)</f>
        <v>8307.6023190536762</v>
      </c>
      <c r="F108" s="5">
        <f>IF(A108&lt;=Loan_Calculator!$C$11,-IPMT(Loan_Calculator!$C$10,A108,Loan_Calculator!$C$11,Loan_Calculator!$B$4),0)</f>
        <v>13387.978515084675</v>
      </c>
      <c r="G108" s="5">
        <f t="shared" si="3"/>
        <v>1881759.9527517234</v>
      </c>
    </row>
    <row r="109" spans="1:7" x14ac:dyDescent="0.25">
      <c r="A109">
        <v>106</v>
      </c>
      <c r="B109" s="4">
        <f t="shared" si="4"/>
        <v>49430</v>
      </c>
      <c r="C109" s="5">
        <f t="shared" si="5"/>
        <v>1881759.9527517234</v>
      </c>
      <c r="D109" s="5">
        <f>IF(A109&lt;=Loan_Calculator!$C$11,Loan_Calculator!$C$12,0)</f>
        <v>21695.580834138349</v>
      </c>
      <c r="E109" s="5">
        <f>IF(A109&lt;=Loan_Calculator!$C$11,-PPMT(Loan_Calculator!$C$10,A109,Loan_Calculator!$C$11,Loan_Calculator!$B$4),0)</f>
        <v>8366.4478354803068</v>
      </c>
      <c r="F109" s="5">
        <f>IF(A109&lt;=Loan_Calculator!$C$11,-IPMT(Loan_Calculator!$C$10,A109,Loan_Calculator!$C$11,Loan_Calculator!$B$4),0)</f>
        <v>13329.132998658044</v>
      </c>
      <c r="G109" s="5">
        <f t="shared" si="3"/>
        <v>1873393.504916243</v>
      </c>
    </row>
    <row r="110" spans="1:7" x14ac:dyDescent="0.25">
      <c r="A110">
        <v>107</v>
      </c>
      <c r="B110" s="4">
        <f t="shared" si="4"/>
        <v>49461</v>
      </c>
      <c r="C110" s="5">
        <f t="shared" si="5"/>
        <v>1873393.504916243</v>
      </c>
      <c r="D110" s="5">
        <f>IF(A110&lt;=Loan_Calculator!$C$11,Loan_Calculator!$C$12,0)</f>
        <v>21695.580834138349</v>
      </c>
      <c r="E110" s="5">
        <f>IF(A110&lt;=Loan_Calculator!$C$11,-PPMT(Loan_Calculator!$C$10,A110,Loan_Calculator!$C$11,Loan_Calculator!$B$4),0)</f>
        <v>8425.7101743149578</v>
      </c>
      <c r="F110" s="5">
        <f>IF(A110&lt;=Loan_Calculator!$C$11,-IPMT(Loan_Calculator!$C$10,A110,Loan_Calculator!$C$11,Loan_Calculator!$B$4),0)</f>
        <v>13269.870659823391</v>
      </c>
      <c r="G110" s="5">
        <f t="shared" si="3"/>
        <v>1864967.7947419281</v>
      </c>
    </row>
    <row r="111" spans="1:7" x14ac:dyDescent="0.25">
      <c r="A111">
        <v>108</v>
      </c>
      <c r="B111" s="4">
        <f t="shared" si="4"/>
        <v>49491</v>
      </c>
      <c r="C111" s="5">
        <f t="shared" si="5"/>
        <v>1864967.7947419281</v>
      </c>
      <c r="D111" s="5">
        <f>IF(A111&lt;=Loan_Calculator!$C$11,Loan_Calculator!$C$12,0)</f>
        <v>21695.580834138349</v>
      </c>
      <c r="E111" s="5">
        <f>IF(A111&lt;=Loan_Calculator!$C$11,-PPMT(Loan_Calculator!$C$10,A111,Loan_Calculator!$C$11,Loan_Calculator!$B$4),0)</f>
        <v>8485.3922880496903</v>
      </c>
      <c r="F111" s="5">
        <f>IF(A111&lt;=Loan_Calculator!$C$11,-IPMT(Loan_Calculator!$C$10,A111,Loan_Calculator!$C$11,Loan_Calculator!$B$4),0)</f>
        <v>13210.188546088659</v>
      </c>
      <c r="G111" s="5">
        <f t="shared" si="3"/>
        <v>1856482.4024538784</v>
      </c>
    </row>
    <row r="112" spans="1:7" x14ac:dyDescent="0.25">
      <c r="A112">
        <v>109</v>
      </c>
      <c r="B112" s="4">
        <f t="shared" si="4"/>
        <v>49522</v>
      </c>
      <c r="C112" s="5">
        <f t="shared" si="5"/>
        <v>1856482.4024538784</v>
      </c>
      <c r="D112" s="5">
        <f>IF(A112&lt;=Loan_Calculator!$C$11,Loan_Calculator!$C$12,0)</f>
        <v>21695.580834138349</v>
      </c>
      <c r="E112" s="5">
        <f>IF(A112&lt;=Loan_Calculator!$C$11,-PPMT(Loan_Calculator!$C$10,A112,Loan_Calculator!$C$11,Loan_Calculator!$B$4),0)</f>
        <v>8545.4971500900392</v>
      </c>
      <c r="F112" s="5">
        <f>IF(A112&lt;=Loan_Calculator!$C$11,-IPMT(Loan_Calculator!$C$10,A112,Loan_Calculator!$C$11,Loan_Calculator!$B$4),0)</f>
        <v>13150.083684048308</v>
      </c>
      <c r="G112" s="5">
        <f t="shared" si="3"/>
        <v>1847936.9053037884</v>
      </c>
    </row>
    <row r="113" spans="1:7" x14ac:dyDescent="0.25">
      <c r="A113">
        <v>110</v>
      </c>
      <c r="B113" s="4">
        <f t="shared" si="4"/>
        <v>49553</v>
      </c>
      <c r="C113" s="5">
        <f t="shared" si="5"/>
        <v>1847936.9053037884</v>
      </c>
      <c r="D113" s="5">
        <f>IF(A113&lt;=Loan_Calculator!$C$11,Loan_Calculator!$C$12,0)</f>
        <v>21695.580834138349</v>
      </c>
      <c r="E113" s="5">
        <f>IF(A113&lt;=Loan_Calculator!$C$11,-PPMT(Loan_Calculator!$C$10,A113,Loan_Calculator!$C$11,Loan_Calculator!$B$4),0)</f>
        <v>8606.027754903178</v>
      </c>
      <c r="F113" s="5">
        <f>IF(A113&lt;=Loan_Calculator!$C$11,-IPMT(Loan_Calculator!$C$10,A113,Loan_Calculator!$C$11,Loan_Calculator!$B$4),0)</f>
        <v>13089.553079235171</v>
      </c>
      <c r="G113" s="5">
        <f t="shared" si="3"/>
        <v>1839330.8775488853</v>
      </c>
    </row>
    <row r="114" spans="1:7" x14ac:dyDescent="0.25">
      <c r="A114">
        <v>111</v>
      </c>
      <c r="B114" s="4">
        <f t="shared" si="4"/>
        <v>49583</v>
      </c>
      <c r="C114" s="5">
        <f t="shared" si="5"/>
        <v>1839330.8775488853</v>
      </c>
      <c r="D114" s="5">
        <f>IF(A114&lt;=Loan_Calculator!$C$11,Loan_Calculator!$C$12,0)</f>
        <v>21695.580834138349</v>
      </c>
      <c r="E114" s="5">
        <f>IF(A114&lt;=Loan_Calculator!$C$11,-PPMT(Loan_Calculator!$C$10,A114,Loan_Calculator!$C$11,Loan_Calculator!$B$4),0)</f>
        <v>8666.9871181670769</v>
      </c>
      <c r="F114" s="5">
        <f>IF(A114&lt;=Loan_Calculator!$C$11,-IPMT(Loan_Calculator!$C$10,A114,Loan_Calculator!$C$11,Loan_Calculator!$B$4),0)</f>
        <v>13028.59371597127</v>
      </c>
      <c r="G114" s="5">
        <f t="shared" si="3"/>
        <v>1830663.8904307182</v>
      </c>
    </row>
    <row r="115" spans="1:7" x14ac:dyDescent="0.25">
      <c r="A115">
        <v>112</v>
      </c>
      <c r="B115" s="4">
        <f t="shared" si="4"/>
        <v>49614</v>
      </c>
      <c r="C115" s="5">
        <f t="shared" si="5"/>
        <v>1830663.8904307182</v>
      </c>
      <c r="D115" s="5">
        <f>IF(A115&lt;=Loan_Calculator!$C$11,Loan_Calculator!$C$12,0)</f>
        <v>21695.580834138349</v>
      </c>
      <c r="E115" s="5">
        <f>IF(A115&lt;=Loan_Calculator!$C$11,-PPMT(Loan_Calculator!$C$10,A115,Loan_Calculator!$C$11,Loan_Calculator!$B$4),0)</f>
        <v>8728.3782769207592</v>
      </c>
      <c r="F115" s="5">
        <f>IF(A115&lt;=Loan_Calculator!$C$11,-IPMT(Loan_Calculator!$C$10,A115,Loan_Calculator!$C$11,Loan_Calculator!$B$4),0)</f>
        <v>12967.202557217588</v>
      </c>
      <c r="G115" s="5">
        <f t="shared" si="3"/>
        <v>1821935.5121537976</v>
      </c>
    </row>
    <row r="116" spans="1:7" x14ac:dyDescent="0.25">
      <c r="A116">
        <v>113</v>
      </c>
      <c r="B116" s="4">
        <f t="shared" si="4"/>
        <v>49644</v>
      </c>
      <c r="C116" s="5">
        <f t="shared" si="5"/>
        <v>1821935.5121537976</v>
      </c>
      <c r="D116" s="5">
        <f>IF(A116&lt;=Loan_Calculator!$C$11,Loan_Calculator!$C$12,0)</f>
        <v>21695.580834138349</v>
      </c>
      <c r="E116" s="5">
        <f>IF(A116&lt;=Loan_Calculator!$C$11,-PPMT(Loan_Calculator!$C$10,A116,Loan_Calculator!$C$11,Loan_Calculator!$B$4),0)</f>
        <v>8790.2042897156171</v>
      </c>
      <c r="F116" s="5">
        <f>IF(A116&lt;=Loan_Calculator!$C$11,-IPMT(Loan_Calculator!$C$10,A116,Loan_Calculator!$C$11,Loan_Calculator!$B$4),0)</f>
        <v>12905.376544422734</v>
      </c>
      <c r="G116" s="5">
        <f t="shared" si="3"/>
        <v>1813145.307864082</v>
      </c>
    </row>
    <row r="117" spans="1:7" x14ac:dyDescent="0.25">
      <c r="A117">
        <v>114</v>
      </c>
      <c r="B117" s="4">
        <f t="shared" si="4"/>
        <v>49675</v>
      </c>
      <c r="C117" s="5">
        <f t="shared" si="5"/>
        <v>1813145.307864082</v>
      </c>
      <c r="D117" s="5">
        <f>IF(A117&lt;=Loan_Calculator!$C$11,Loan_Calculator!$C$12,0)</f>
        <v>21695.580834138349</v>
      </c>
      <c r="E117" s="5">
        <f>IF(A117&lt;=Loan_Calculator!$C$11,-PPMT(Loan_Calculator!$C$10,A117,Loan_Calculator!$C$11,Loan_Calculator!$B$4),0)</f>
        <v>8852.4682367677669</v>
      </c>
      <c r="F117" s="5">
        <f>IF(A117&lt;=Loan_Calculator!$C$11,-IPMT(Loan_Calculator!$C$10,A117,Loan_Calculator!$C$11,Loan_Calculator!$B$4),0)</f>
        <v>12843.112597370578</v>
      </c>
      <c r="G117" s="5">
        <f t="shared" si="3"/>
        <v>1804292.8396273144</v>
      </c>
    </row>
    <row r="118" spans="1:7" x14ac:dyDescent="0.25">
      <c r="A118">
        <v>115</v>
      </c>
      <c r="B118" s="4">
        <f t="shared" si="4"/>
        <v>49706</v>
      </c>
      <c r="C118" s="5">
        <f t="shared" si="5"/>
        <v>1804292.8396273144</v>
      </c>
      <c r="D118" s="5">
        <f>IF(A118&lt;=Loan_Calculator!$C$11,Loan_Calculator!$C$12,0)</f>
        <v>21695.580834138349</v>
      </c>
      <c r="E118" s="5">
        <f>IF(A118&lt;=Loan_Calculator!$C$11,-PPMT(Loan_Calculator!$C$10,A118,Loan_Calculator!$C$11,Loan_Calculator!$B$4),0)</f>
        <v>8915.1732201115392</v>
      </c>
      <c r="F118" s="5">
        <f>IF(A118&lt;=Loan_Calculator!$C$11,-IPMT(Loan_Calculator!$C$10,A118,Loan_Calculator!$C$11,Loan_Calculator!$B$4),0)</f>
        <v>12780.40761402681</v>
      </c>
      <c r="G118" s="5">
        <f t="shared" si="3"/>
        <v>1795377.6664072028</v>
      </c>
    </row>
    <row r="119" spans="1:7" x14ac:dyDescent="0.25">
      <c r="A119">
        <v>116</v>
      </c>
      <c r="B119" s="4">
        <f t="shared" si="4"/>
        <v>49735</v>
      </c>
      <c r="C119" s="5">
        <f t="shared" si="5"/>
        <v>1795377.6664072028</v>
      </c>
      <c r="D119" s="5">
        <f>IF(A119&lt;=Loan_Calculator!$C$11,Loan_Calculator!$C$12,0)</f>
        <v>21695.580834138349</v>
      </c>
      <c r="E119" s="5">
        <f>IF(A119&lt;=Loan_Calculator!$C$11,-PPMT(Loan_Calculator!$C$10,A119,Loan_Calculator!$C$11,Loan_Calculator!$B$4),0)</f>
        <v>8978.3223637539977</v>
      </c>
      <c r="F119" s="5">
        <f>IF(A119&lt;=Loan_Calculator!$C$11,-IPMT(Loan_Calculator!$C$10,A119,Loan_Calculator!$C$11,Loan_Calculator!$B$4),0)</f>
        <v>12717.258470384351</v>
      </c>
      <c r="G119" s="5">
        <f t="shared" si="3"/>
        <v>1786399.3440434488</v>
      </c>
    </row>
    <row r="120" spans="1:7" x14ac:dyDescent="0.25">
      <c r="A120">
        <v>117</v>
      </c>
      <c r="B120" s="4">
        <f t="shared" si="4"/>
        <v>49766</v>
      </c>
      <c r="C120" s="5">
        <f t="shared" si="5"/>
        <v>1786399.3440434488</v>
      </c>
      <c r="D120" s="5">
        <f>IF(A120&lt;=Loan_Calculator!$C$11,Loan_Calculator!$C$12,0)</f>
        <v>21695.580834138349</v>
      </c>
      <c r="E120" s="5">
        <f>IF(A120&lt;=Loan_Calculator!$C$11,-PPMT(Loan_Calculator!$C$10,A120,Loan_Calculator!$C$11,Loan_Calculator!$B$4),0)</f>
        <v>9041.9188138305872</v>
      </c>
      <c r="F120" s="5">
        <f>IF(A120&lt;=Loan_Calculator!$C$11,-IPMT(Loan_Calculator!$C$10,A120,Loan_Calculator!$C$11,Loan_Calculator!$B$4),0)</f>
        <v>12653.662020307762</v>
      </c>
      <c r="G120" s="5">
        <f t="shared" si="3"/>
        <v>1777357.4252296183</v>
      </c>
    </row>
    <row r="121" spans="1:7" x14ac:dyDescent="0.25">
      <c r="A121">
        <v>118</v>
      </c>
      <c r="B121" s="4">
        <f t="shared" si="4"/>
        <v>49796</v>
      </c>
      <c r="C121" s="5">
        <f t="shared" si="5"/>
        <v>1777357.4252296183</v>
      </c>
      <c r="D121" s="5">
        <f>IF(A121&lt;=Loan_Calculator!$C$11,Loan_Calculator!$C$12,0)</f>
        <v>21695.580834138349</v>
      </c>
      <c r="E121" s="5">
        <f>IF(A121&lt;=Loan_Calculator!$C$11,-PPMT(Loan_Calculator!$C$10,A121,Loan_Calculator!$C$11,Loan_Calculator!$B$4),0)</f>
        <v>9105.9657387618881</v>
      </c>
      <c r="F121" s="5">
        <f>IF(A121&lt;=Loan_Calculator!$C$11,-IPMT(Loan_Calculator!$C$10,A121,Loan_Calculator!$C$11,Loan_Calculator!$B$4),0)</f>
        <v>12589.615095376465</v>
      </c>
      <c r="G121" s="5">
        <f t="shared" si="3"/>
        <v>1768251.4594908564</v>
      </c>
    </row>
    <row r="122" spans="1:7" x14ac:dyDescent="0.25">
      <c r="A122">
        <v>119</v>
      </c>
      <c r="B122" s="4">
        <f t="shared" si="4"/>
        <v>49827</v>
      </c>
      <c r="C122" s="5">
        <f t="shared" si="5"/>
        <v>1768251.4594908564</v>
      </c>
      <c r="D122" s="5">
        <f>IF(A122&lt;=Loan_Calculator!$C$11,Loan_Calculator!$C$12,0)</f>
        <v>21695.580834138349</v>
      </c>
      <c r="E122" s="5">
        <f>IF(A122&lt;=Loan_Calculator!$C$11,-PPMT(Loan_Calculator!$C$10,A122,Loan_Calculator!$C$11,Loan_Calculator!$B$4),0)</f>
        <v>9170.4663294114489</v>
      </c>
      <c r="F122" s="5">
        <f>IF(A122&lt;=Loan_Calculator!$C$11,-IPMT(Loan_Calculator!$C$10,A122,Loan_Calculator!$C$11,Loan_Calculator!$B$4),0)</f>
        <v>12525.114504726898</v>
      </c>
      <c r="G122" s="5">
        <f t="shared" si="3"/>
        <v>1759080.993161445</v>
      </c>
    </row>
    <row r="123" spans="1:7" x14ac:dyDescent="0.25">
      <c r="A123">
        <v>120</v>
      </c>
      <c r="B123" s="4">
        <f t="shared" si="4"/>
        <v>49857</v>
      </c>
      <c r="C123" s="5">
        <f t="shared" si="5"/>
        <v>1759080.993161445</v>
      </c>
      <c r="D123" s="5">
        <f>IF(A123&lt;=Loan_Calculator!$C$11,Loan_Calculator!$C$12,0)</f>
        <v>21695.580834138349</v>
      </c>
      <c r="E123" s="5">
        <f>IF(A123&lt;=Loan_Calculator!$C$11,-PPMT(Loan_Calculator!$C$10,A123,Loan_Calculator!$C$11,Loan_Calculator!$B$4),0)</f>
        <v>9235.4237992447797</v>
      </c>
      <c r="F123" s="5">
        <f>IF(A123&lt;=Loan_Calculator!$C$11,-IPMT(Loan_Calculator!$C$10,A123,Loan_Calculator!$C$11,Loan_Calculator!$B$4),0)</f>
        <v>12460.157034893567</v>
      </c>
      <c r="G123" s="5">
        <f t="shared" si="3"/>
        <v>1749845.5693622003</v>
      </c>
    </row>
    <row r="124" spans="1:7" x14ac:dyDescent="0.25">
      <c r="A124">
        <v>121</v>
      </c>
      <c r="B124" s="4">
        <f t="shared" si="4"/>
        <v>49888</v>
      </c>
      <c r="C124" s="5">
        <f t="shared" si="5"/>
        <v>1749845.5693622003</v>
      </c>
      <c r="D124" s="5">
        <f>IF(A124&lt;=Loan_Calculator!$C$11,Loan_Calculator!$C$12,0)</f>
        <v>21695.580834138349</v>
      </c>
      <c r="E124" s="5">
        <f>IF(A124&lt;=Loan_Calculator!$C$11,-PPMT(Loan_Calculator!$C$10,A124,Loan_Calculator!$C$11,Loan_Calculator!$B$4),0)</f>
        <v>9300.8413844894312</v>
      </c>
      <c r="F124" s="5">
        <f>IF(A124&lt;=Loan_Calculator!$C$11,-IPMT(Loan_Calculator!$C$10,A124,Loan_Calculator!$C$11,Loan_Calculator!$B$4),0)</f>
        <v>12394.739449648916</v>
      </c>
      <c r="G124" s="5">
        <f t="shared" si="3"/>
        <v>1740544.727977711</v>
      </c>
    </row>
    <row r="125" spans="1:7" x14ac:dyDescent="0.25">
      <c r="A125">
        <v>122</v>
      </c>
      <c r="B125" s="4">
        <f t="shared" si="4"/>
        <v>49919</v>
      </c>
      <c r="C125" s="5">
        <f t="shared" si="5"/>
        <v>1740544.727977711</v>
      </c>
      <c r="D125" s="5">
        <f>IF(A125&lt;=Loan_Calculator!$C$11,Loan_Calculator!$C$12,0)</f>
        <v>21695.580834138349</v>
      </c>
      <c r="E125" s="5">
        <f>IF(A125&lt;=Loan_Calculator!$C$11,-PPMT(Loan_Calculator!$C$10,A125,Loan_Calculator!$C$11,Loan_Calculator!$B$4),0)</f>
        <v>9366.7223442962331</v>
      </c>
      <c r="F125" s="5">
        <f>IF(A125&lt;=Loan_Calculator!$C$11,-IPMT(Loan_Calculator!$C$10,A125,Loan_Calculator!$C$11,Loan_Calculator!$B$4),0)</f>
        <v>12328.858489842116</v>
      </c>
      <c r="G125" s="5">
        <f t="shared" si="3"/>
        <v>1731178.0056334147</v>
      </c>
    </row>
    <row r="126" spans="1:7" x14ac:dyDescent="0.25">
      <c r="A126">
        <v>123</v>
      </c>
      <c r="B126" s="4">
        <f t="shared" si="4"/>
        <v>49949</v>
      </c>
      <c r="C126" s="5">
        <f t="shared" si="5"/>
        <v>1731178.0056334147</v>
      </c>
      <c r="D126" s="5">
        <f>IF(A126&lt;=Loan_Calculator!$C$11,Loan_Calculator!$C$12,0)</f>
        <v>21695.580834138349</v>
      </c>
      <c r="E126" s="5">
        <f>IF(A126&lt;=Loan_Calculator!$C$11,-PPMT(Loan_Calculator!$C$10,A126,Loan_Calculator!$C$11,Loan_Calculator!$B$4),0)</f>
        <v>9433.0699609016629</v>
      </c>
      <c r="F126" s="5">
        <f>IF(A126&lt;=Loan_Calculator!$C$11,-IPMT(Loan_Calculator!$C$10,A126,Loan_Calculator!$C$11,Loan_Calculator!$B$4),0)</f>
        <v>12262.510873236684</v>
      </c>
      <c r="G126" s="5">
        <f t="shared" si="3"/>
        <v>1721744.935672513</v>
      </c>
    </row>
    <row r="127" spans="1:7" x14ac:dyDescent="0.25">
      <c r="A127">
        <v>124</v>
      </c>
      <c r="B127" s="4">
        <f t="shared" si="4"/>
        <v>49980</v>
      </c>
      <c r="C127" s="5">
        <f t="shared" si="5"/>
        <v>1721744.935672513</v>
      </c>
      <c r="D127" s="5">
        <f>IF(A127&lt;=Loan_Calculator!$C$11,Loan_Calculator!$C$12,0)</f>
        <v>21695.580834138349</v>
      </c>
      <c r="E127" s="5">
        <f>IF(A127&lt;=Loan_Calculator!$C$11,-PPMT(Loan_Calculator!$C$10,A127,Loan_Calculator!$C$11,Loan_Calculator!$B$4),0)</f>
        <v>9499.8875397913835</v>
      </c>
      <c r="F127" s="5">
        <f>IF(A127&lt;=Loan_Calculator!$C$11,-IPMT(Loan_Calculator!$C$10,A127,Loan_Calculator!$C$11,Loan_Calculator!$B$4),0)</f>
        <v>12195.693294346964</v>
      </c>
      <c r="G127" s="5">
        <f t="shared" si="3"/>
        <v>1712245.0481327216</v>
      </c>
    </row>
    <row r="128" spans="1:7" x14ac:dyDescent="0.25">
      <c r="A128">
        <v>125</v>
      </c>
      <c r="B128" s="4">
        <f t="shared" si="4"/>
        <v>50010</v>
      </c>
      <c r="C128" s="5">
        <f t="shared" si="5"/>
        <v>1712245.0481327216</v>
      </c>
      <c r="D128" s="5">
        <f>IF(A128&lt;=Loan_Calculator!$C$11,Loan_Calculator!$C$12,0)</f>
        <v>21695.580834138349</v>
      </c>
      <c r="E128" s="5">
        <f>IF(A128&lt;=Loan_Calculator!$C$11,-PPMT(Loan_Calculator!$C$10,A128,Loan_Calculator!$C$11,Loan_Calculator!$B$4),0)</f>
        <v>9567.1784098649059</v>
      </c>
      <c r="F128" s="5">
        <f>IF(A128&lt;=Loan_Calculator!$C$11,-IPMT(Loan_Calculator!$C$10,A128,Loan_Calculator!$C$11,Loan_Calculator!$B$4),0)</f>
        <v>12128.402424273443</v>
      </c>
      <c r="G128" s="5">
        <f t="shared" si="3"/>
        <v>1702677.8697228567</v>
      </c>
    </row>
    <row r="129" spans="1:7" x14ac:dyDescent="0.25">
      <c r="A129">
        <v>126</v>
      </c>
      <c r="B129" s="4">
        <f t="shared" si="4"/>
        <v>50041</v>
      </c>
      <c r="C129" s="5">
        <f t="shared" si="5"/>
        <v>1702677.8697228567</v>
      </c>
      <c r="D129" s="5">
        <f>IF(A129&lt;=Loan_Calculator!$C$11,Loan_Calculator!$C$12,0)</f>
        <v>21695.580834138349</v>
      </c>
      <c r="E129" s="5">
        <f>IF(A129&lt;=Loan_Calculator!$C$11,-PPMT(Loan_Calculator!$C$10,A129,Loan_Calculator!$C$11,Loan_Calculator!$B$4),0)</f>
        <v>9634.94592360145</v>
      </c>
      <c r="F129" s="5">
        <f>IF(A129&lt;=Loan_Calculator!$C$11,-IPMT(Loan_Calculator!$C$10,A129,Loan_Calculator!$C$11,Loan_Calculator!$B$4),0)</f>
        <v>12060.634910536899</v>
      </c>
      <c r="G129" s="5">
        <f t="shared" si="3"/>
        <v>1693042.9237992552</v>
      </c>
    </row>
    <row r="130" spans="1:7" x14ac:dyDescent="0.25">
      <c r="A130">
        <v>127</v>
      </c>
      <c r="B130" s="4">
        <f t="shared" si="4"/>
        <v>50072</v>
      </c>
      <c r="C130" s="5">
        <f t="shared" si="5"/>
        <v>1693042.9237992552</v>
      </c>
      <c r="D130" s="5">
        <f>IF(A130&lt;=Loan_Calculator!$C$11,Loan_Calculator!$C$12,0)</f>
        <v>21695.580834138349</v>
      </c>
      <c r="E130" s="5">
        <f>IF(A130&lt;=Loan_Calculator!$C$11,-PPMT(Loan_Calculator!$C$10,A130,Loan_Calculator!$C$11,Loan_Calculator!$B$4),0)</f>
        <v>9703.1934572269602</v>
      </c>
      <c r="F130" s="5">
        <f>IF(A130&lt;=Loan_Calculator!$C$11,-IPMT(Loan_Calculator!$C$10,A130,Loan_Calculator!$C$11,Loan_Calculator!$B$4),0)</f>
        <v>11992.387376911387</v>
      </c>
      <c r="G130" s="5">
        <f t="shared" si="3"/>
        <v>1683339.7303420282</v>
      </c>
    </row>
    <row r="131" spans="1:7" x14ac:dyDescent="0.25">
      <c r="A131">
        <v>128</v>
      </c>
      <c r="B131" s="4">
        <f t="shared" si="4"/>
        <v>50100</v>
      </c>
      <c r="C131" s="5">
        <f t="shared" si="5"/>
        <v>1683339.7303420282</v>
      </c>
      <c r="D131" s="5">
        <f>IF(A131&lt;=Loan_Calculator!$C$11,Loan_Calculator!$C$12,0)</f>
        <v>21695.580834138349</v>
      </c>
      <c r="E131" s="5">
        <f>IF(A131&lt;=Loan_Calculator!$C$11,-PPMT(Loan_Calculator!$C$10,A131,Loan_Calculator!$C$11,Loan_Calculator!$B$4),0)</f>
        <v>9771.9244108823168</v>
      </c>
      <c r="F131" s="5">
        <f>IF(A131&lt;=Loan_Calculator!$C$11,-IPMT(Loan_Calculator!$C$10,A131,Loan_Calculator!$C$11,Loan_Calculator!$B$4),0)</f>
        <v>11923.656423256032</v>
      </c>
      <c r="G131" s="5">
        <f t="shared" si="3"/>
        <v>1673567.8059311458</v>
      </c>
    </row>
    <row r="132" spans="1:7" x14ac:dyDescent="0.25">
      <c r="A132">
        <v>129</v>
      </c>
      <c r="B132" s="4">
        <f t="shared" si="4"/>
        <v>50131</v>
      </c>
      <c r="C132" s="5">
        <f t="shared" si="5"/>
        <v>1673567.8059311458</v>
      </c>
      <c r="D132" s="5">
        <f>IF(A132&lt;=Loan_Calculator!$C$11,Loan_Calculator!$C$12,0)</f>
        <v>21695.580834138349</v>
      </c>
      <c r="E132" s="5">
        <f>IF(A132&lt;=Loan_Calculator!$C$11,-PPMT(Loan_Calculator!$C$10,A132,Loan_Calculator!$C$11,Loan_Calculator!$B$4),0)</f>
        <v>9841.1422087927331</v>
      </c>
      <c r="F132" s="5">
        <f>IF(A132&lt;=Loan_Calculator!$C$11,-IPMT(Loan_Calculator!$C$10,A132,Loan_Calculator!$C$11,Loan_Calculator!$B$4),0)</f>
        <v>11854.438625345616</v>
      </c>
      <c r="G132" s="5">
        <f t="shared" ref="G132:G195" si="6">MAX(0,C132-E132)</f>
        <v>1663726.6637223531</v>
      </c>
    </row>
    <row r="133" spans="1:7" x14ac:dyDescent="0.25">
      <c r="A133">
        <v>130</v>
      </c>
      <c r="B133" s="4">
        <f t="shared" ref="B133:B196" si="7">EDATE(B132,1)</f>
        <v>50161</v>
      </c>
      <c r="C133" s="5">
        <f t="shared" ref="C133:C196" si="8">G132</f>
        <v>1663726.6637223531</v>
      </c>
      <c r="D133" s="5">
        <f>IF(A133&lt;=Loan_Calculator!$C$11,Loan_Calculator!$C$12,0)</f>
        <v>21695.580834138349</v>
      </c>
      <c r="E133" s="5">
        <f>IF(A133&lt;=Loan_Calculator!$C$11,-PPMT(Loan_Calculator!$C$10,A133,Loan_Calculator!$C$11,Loan_Calculator!$B$4),0)</f>
        <v>9910.8502994383489</v>
      </c>
      <c r="F133" s="5">
        <f>IF(A133&lt;=Loan_Calculator!$C$11,-IPMT(Loan_Calculator!$C$10,A133,Loan_Calculator!$C$11,Loan_Calculator!$B$4),0)</f>
        <v>11784.7305347</v>
      </c>
      <c r="G133" s="5">
        <f t="shared" si="6"/>
        <v>1653815.8134229146</v>
      </c>
    </row>
    <row r="134" spans="1:7" x14ac:dyDescent="0.25">
      <c r="A134">
        <v>131</v>
      </c>
      <c r="B134" s="4">
        <f t="shared" si="7"/>
        <v>50192</v>
      </c>
      <c r="C134" s="5">
        <f t="shared" si="8"/>
        <v>1653815.8134229146</v>
      </c>
      <c r="D134" s="5">
        <f>IF(A134&lt;=Loan_Calculator!$C$11,Loan_Calculator!$C$12,0)</f>
        <v>21695.580834138349</v>
      </c>
      <c r="E134" s="5">
        <f>IF(A134&lt;=Loan_Calculator!$C$11,-PPMT(Loan_Calculator!$C$10,A134,Loan_Calculator!$C$11,Loan_Calculator!$B$4),0)</f>
        <v>9981.0521557260381</v>
      </c>
      <c r="F134" s="5">
        <f>IF(A134&lt;=Loan_Calculator!$C$11,-IPMT(Loan_Calculator!$C$10,A134,Loan_Calculator!$C$11,Loan_Calculator!$B$4),0)</f>
        <v>11714.528678412309</v>
      </c>
      <c r="G134" s="5">
        <f t="shared" si="6"/>
        <v>1643834.7612671885</v>
      </c>
    </row>
    <row r="135" spans="1:7" x14ac:dyDescent="0.25">
      <c r="A135">
        <v>132</v>
      </c>
      <c r="B135" s="4">
        <f t="shared" si="7"/>
        <v>50222</v>
      </c>
      <c r="C135" s="5">
        <f t="shared" si="8"/>
        <v>1643834.7612671885</v>
      </c>
      <c r="D135" s="5">
        <f>IF(A135&lt;=Loan_Calculator!$C$11,Loan_Calculator!$C$12,0)</f>
        <v>21695.580834138349</v>
      </c>
      <c r="E135" s="5">
        <f>IF(A135&lt;=Loan_Calculator!$C$11,-PPMT(Loan_Calculator!$C$10,A135,Loan_Calculator!$C$11,Loan_Calculator!$B$4),0)</f>
        <v>10051.751275162429</v>
      </c>
      <c r="F135" s="5">
        <f>IF(A135&lt;=Loan_Calculator!$C$11,-IPMT(Loan_Calculator!$C$10,A135,Loan_Calculator!$C$11,Loan_Calculator!$B$4),0)</f>
        <v>11643.82955897592</v>
      </c>
      <c r="G135" s="5">
        <f t="shared" si="6"/>
        <v>1633783.009992026</v>
      </c>
    </row>
    <row r="136" spans="1:7" x14ac:dyDescent="0.25">
      <c r="A136">
        <v>133</v>
      </c>
      <c r="B136" s="4">
        <f t="shared" si="7"/>
        <v>50253</v>
      </c>
      <c r="C136" s="5">
        <f t="shared" si="8"/>
        <v>1633783.009992026</v>
      </c>
      <c r="D136" s="5">
        <f>IF(A136&lt;=Loan_Calculator!$C$11,Loan_Calculator!$C$12,0)</f>
        <v>21695.580834138349</v>
      </c>
      <c r="E136" s="5">
        <f>IF(A136&lt;=Loan_Calculator!$C$11,-PPMT(Loan_Calculator!$C$10,A136,Loan_Calculator!$C$11,Loan_Calculator!$B$4),0)</f>
        <v>10122.951180028163</v>
      </c>
      <c r="F136" s="5">
        <f>IF(A136&lt;=Loan_Calculator!$C$11,-IPMT(Loan_Calculator!$C$10,A136,Loan_Calculator!$C$11,Loan_Calculator!$B$4),0)</f>
        <v>11572.629654110187</v>
      </c>
      <c r="G136" s="5">
        <f t="shared" si="6"/>
        <v>1623660.0588119978</v>
      </c>
    </row>
    <row r="137" spans="1:7" x14ac:dyDescent="0.25">
      <c r="A137">
        <v>134</v>
      </c>
      <c r="B137" s="4">
        <f t="shared" si="7"/>
        <v>50284</v>
      </c>
      <c r="C137" s="5">
        <f t="shared" si="8"/>
        <v>1623660.0588119978</v>
      </c>
      <c r="D137" s="5">
        <f>IF(A137&lt;=Loan_Calculator!$C$11,Loan_Calculator!$C$12,0)</f>
        <v>21695.580834138349</v>
      </c>
      <c r="E137" s="5">
        <f>IF(A137&lt;=Loan_Calculator!$C$11,-PPMT(Loan_Calculator!$C$10,A137,Loan_Calculator!$C$11,Loan_Calculator!$B$4),0)</f>
        <v>10194.655417553364</v>
      </c>
      <c r="F137" s="5">
        <f>IF(A137&lt;=Loan_Calculator!$C$11,-IPMT(Loan_Calculator!$C$10,A137,Loan_Calculator!$C$11,Loan_Calculator!$B$4),0)</f>
        <v>11500.925416584985</v>
      </c>
      <c r="G137" s="5">
        <f t="shared" si="6"/>
        <v>1613465.4033944444</v>
      </c>
    </row>
    <row r="138" spans="1:7" x14ac:dyDescent="0.25">
      <c r="A138">
        <v>135</v>
      </c>
      <c r="B138" s="4">
        <f t="shared" si="7"/>
        <v>50314</v>
      </c>
      <c r="C138" s="5">
        <f t="shared" si="8"/>
        <v>1613465.4033944444</v>
      </c>
      <c r="D138" s="5">
        <f>IF(A138&lt;=Loan_Calculator!$C$11,Loan_Calculator!$C$12,0)</f>
        <v>21695.580834138349</v>
      </c>
      <c r="E138" s="5">
        <f>IF(A138&lt;=Loan_Calculator!$C$11,-PPMT(Loan_Calculator!$C$10,A138,Loan_Calculator!$C$11,Loan_Calculator!$B$4),0)</f>
        <v>10266.867560094364</v>
      </c>
      <c r="F138" s="5">
        <f>IF(A138&lt;=Loan_Calculator!$C$11,-IPMT(Loan_Calculator!$C$10,A138,Loan_Calculator!$C$11,Loan_Calculator!$B$4),0)</f>
        <v>11428.713274043983</v>
      </c>
      <c r="G138" s="5">
        <f t="shared" si="6"/>
        <v>1603198.5358343499</v>
      </c>
    </row>
    <row r="139" spans="1:7" x14ac:dyDescent="0.25">
      <c r="A139">
        <v>136</v>
      </c>
      <c r="B139" s="4">
        <f t="shared" si="7"/>
        <v>50345</v>
      </c>
      <c r="C139" s="5">
        <f t="shared" si="8"/>
        <v>1603198.5358343499</v>
      </c>
      <c r="D139" s="5">
        <f>IF(A139&lt;=Loan_Calculator!$C$11,Loan_Calculator!$C$12,0)</f>
        <v>21695.580834138349</v>
      </c>
      <c r="E139" s="5">
        <f>IF(A139&lt;=Loan_Calculator!$C$11,-PPMT(Loan_Calculator!$C$10,A139,Loan_Calculator!$C$11,Loan_Calculator!$B$4),0)</f>
        <v>10339.591205311701</v>
      </c>
      <c r="F139" s="5">
        <f>IF(A139&lt;=Loan_Calculator!$C$11,-IPMT(Loan_Calculator!$C$10,A139,Loan_Calculator!$C$11,Loan_Calculator!$B$4),0)</f>
        <v>11355.989628826648</v>
      </c>
      <c r="G139" s="5">
        <f t="shared" si="6"/>
        <v>1592858.9446290382</v>
      </c>
    </row>
    <row r="140" spans="1:7" x14ac:dyDescent="0.25">
      <c r="A140">
        <v>137</v>
      </c>
      <c r="B140" s="4">
        <f t="shared" si="7"/>
        <v>50375</v>
      </c>
      <c r="C140" s="5">
        <f t="shared" si="8"/>
        <v>1592858.9446290382</v>
      </c>
      <c r="D140" s="5">
        <f>IF(A140&lt;=Loan_Calculator!$C$11,Loan_Calculator!$C$12,0)</f>
        <v>21695.580834138349</v>
      </c>
      <c r="E140" s="5">
        <f>IF(A140&lt;=Loan_Calculator!$C$11,-PPMT(Loan_Calculator!$C$10,A140,Loan_Calculator!$C$11,Loan_Calculator!$B$4),0)</f>
        <v>10412.829976349325</v>
      </c>
      <c r="F140" s="5">
        <f>IF(A140&lt;=Loan_Calculator!$C$11,-IPMT(Loan_Calculator!$C$10,A140,Loan_Calculator!$C$11,Loan_Calculator!$B$4),0)</f>
        <v>11282.750857789024</v>
      </c>
      <c r="G140" s="5">
        <f t="shared" si="6"/>
        <v>1582446.1146526888</v>
      </c>
    </row>
    <row r="141" spans="1:7" x14ac:dyDescent="0.25">
      <c r="A141">
        <v>138</v>
      </c>
      <c r="B141" s="4">
        <f t="shared" si="7"/>
        <v>50406</v>
      </c>
      <c r="C141" s="5">
        <f t="shared" si="8"/>
        <v>1582446.1146526888</v>
      </c>
      <c r="D141" s="5">
        <f>IF(A141&lt;=Loan_Calculator!$C$11,Loan_Calculator!$C$12,0)</f>
        <v>21695.580834138349</v>
      </c>
      <c r="E141" s="5">
        <f>IF(A141&lt;=Loan_Calculator!$C$11,-PPMT(Loan_Calculator!$C$10,A141,Loan_Calculator!$C$11,Loan_Calculator!$B$4),0)</f>
        <v>10486.587522015134</v>
      </c>
      <c r="F141" s="5">
        <f>IF(A141&lt;=Loan_Calculator!$C$11,-IPMT(Loan_Calculator!$C$10,A141,Loan_Calculator!$C$11,Loan_Calculator!$B$4),0)</f>
        <v>11208.993312123217</v>
      </c>
      <c r="G141" s="5">
        <f t="shared" si="6"/>
        <v>1571959.5271306736</v>
      </c>
    </row>
    <row r="142" spans="1:7" x14ac:dyDescent="0.25">
      <c r="A142">
        <v>139</v>
      </c>
      <c r="B142" s="4">
        <f t="shared" si="7"/>
        <v>50437</v>
      </c>
      <c r="C142" s="5">
        <f t="shared" si="8"/>
        <v>1571959.5271306736</v>
      </c>
      <c r="D142" s="5">
        <f>IF(A142&lt;=Loan_Calculator!$C$11,Loan_Calculator!$C$12,0)</f>
        <v>21695.580834138349</v>
      </c>
      <c r="E142" s="5">
        <f>IF(A142&lt;=Loan_Calculator!$C$11,-PPMT(Loan_Calculator!$C$10,A142,Loan_Calculator!$C$11,Loan_Calculator!$B$4),0)</f>
        <v>10560.867516962739</v>
      </c>
      <c r="F142" s="5">
        <f>IF(A142&lt;=Loan_Calculator!$C$11,-IPMT(Loan_Calculator!$C$10,A142,Loan_Calculator!$C$11,Loan_Calculator!$B$4),0)</f>
        <v>11134.713317175609</v>
      </c>
      <c r="G142" s="5">
        <f t="shared" si="6"/>
        <v>1561398.6596137108</v>
      </c>
    </row>
    <row r="143" spans="1:7" x14ac:dyDescent="0.25">
      <c r="A143">
        <v>140</v>
      </c>
      <c r="B143" s="4">
        <f t="shared" si="7"/>
        <v>50465</v>
      </c>
      <c r="C143" s="5">
        <f t="shared" si="8"/>
        <v>1561398.6596137108</v>
      </c>
      <c r="D143" s="5">
        <f>IF(A143&lt;=Loan_Calculator!$C$11,Loan_Calculator!$C$12,0)</f>
        <v>21695.580834138349</v>
      </c>
      <c r="E143" s="5">
        <f>IF(A143&lt;=Loan_Calculator!$C$11,-PPMT(Loan_Calculator!$C$10,A143,Loan_Calculator!$C$11,Loan_Calculator!$B$4),0)</f>
        <v>10635.67366187456</v>
      </c>
      <c r="F143" s="5">
        <f>IF(A143&lt;=Loan_Calculator!$C$11,-IPMT(Loan_Calculator!$C$10,A143,Loan_Calculator!$C$11,Loan_Calculator!$B$4),0)</f>
        <v>11059.907172263789</v>
      </c>
      <c r="G143" s="5">
        <f t="shared" si="6"/>
        <v>1550762.9859518362</v>
      </c>
    </row>
    <row r="144" spans="1:7" x14ac:dyDescent="0.25">
      <c r="A144">
        <v>141</v>
      </c>
      <c r="B144" s="4">
        <f t="shared" si="7"/>
        <v>50496</v>
      </c>
      <c r="C144" s="5">
        <f t="shared" si="8"/>
        <v>1550762.9859518362</v>
      </c>
      <c r="D144" s="5">
        <f>IF(A144&lt;=Loan_Calculator!$C$11,Loan_Calculator!$C$12,0)</f>
        <v>21695.580834138349</v>
      </c>
      <c r="E144" s="5">
        <f>IF(A144&lt;=Loan_Calculator!$C$11,-PPMT(Loan_Calculator!$C$10,A144,Loan_Calculator!$C$11,Loan_Calculator!$B$4),0)</f>
        <v>10711.009683646171</v>
      </c>
      <c r="F144" s="5">
        <f>IF(A144&lt;=Loan_Calculator!$C$11,-IPMT(Loan_Calculator!$C$10,A144,Loan_Calculator!$C$11,Loan_Calculator!$B$4),0)</f>
        <v>10984.571150492178</v>
      </c>
      <c r="G144" s="5">
        <f t="shared" si="6"/>
        <v>1540051.97626819</v>
      </c>
    </row>
    <row r="145" spans="1:7" x14ac:dyDescent="0.25">
      <c r="A145">
        <v>142</v>
      </c>
      <c r="B145" s="4">
        <f t="shared" si="7"/>
        <v>50526</v>
      </c>
      <c r="C145" s="5">
        <f t="shared" si="8"/>
        <v>1540051.97626819</v>
      </c>
      <c r="D145" s="5">
        <f>IF(A145&lt;=Loan_Calculator!$C$11,Loan_Calculator!$C$12,0)</f>
        <v>21695.580834138349</v>
      </c>
      <c r="E145" s="5">
        <f>IF(A145&lt;=Loan_Calculator!$C$11,-PPMT(Loan_Calculator!$C$10,A145,Loan_Calculator!$C$11,Loan_Calculator!$B$4),0)</f>
        <v>10786.879335571999</v>
      </c>
      <c r="F145" s="5">
        <f>IF(A145&lt;=Loan_Calculator!$C$11,-IPMT(Loan_Calculator!$C$10,A145,Loan_Calculator!$C$11,Loan_Calculator!$B$4),0)</f>
        <v>10908.70149856635</v>
      </c>
      <c r="G145" s="5">
        <f t="shared" si="6"/>
        <v>1529265.0969326179</v>
      </c>
    </row>
    <row r="146" spans="1:7" x14ac:dyDescent="0.25">
      <c r="A146">
        <v>143</v>
      </c>
      <c r="B146" s="4">
        <f t="shared" si="7"/>
        <v>50557</v>
      </c>
      <c r="C146" s="5">
        <f t="shared" si="8"/>
        <v>1529265.0969326179</v>
      </c>
      <c r="D146" s="5">
        <f>IF(A146&lt;=Loan_Calculator!$C$11,Loan_Calculator!$C$12,0)</f>
        <v>21695.580834138349</v>
      </c>
      <c r="E146" s="5">
        <f>IF(A146&lt;=Loan_Calculator!$C$11,-PPMT(Loan_Calculator!$C$10,A146,Loan_Calculator!$C$11,Loan_Calculator!$B$4),0)</f>
        <v>10863.2863975323</v>
      </c>
      <c r="F146" s="5">
        <f>IF(A146&lt;=Loan_Calculator!$C$11,-IPMT(Loan_Calculator!$C$10,A146,Loan_Calculator!$C$11,Loan_Calculator!$B$4),0)</f>
        <v>10832.294436606047</v>
      </c>
      <c r="G146" s="5">
        <f t="shared" si="6"/>
        <v>1518401.8105350856</v>
      </c>
    </row>
    <row r="147" spans="1:7" x14ac:dyDescent="0.25">
      <c r="A147">
        <v>144</v>
      </c>
      <c r="B147" s="4">
        <f t="shared" si="7"/>
        <v>50587</v>
      </c>
      <c r="C147" s="5">
        <f t="shared" si="8"/>
        <v>1518401.8105350856</v>
      </c>
      <c r="D147" s="5">
        <f>IF(A147&lt;=Loan_Calculator!$C$11,Loan_Calculator!$C$12,0)</f>
        <v>21695.580834138349</v>
      </c>
      <c r="E147" s="5">
        <f>IF(A147&lt;=Loan_Calculator!$C$11,-PPMT(Loan_Calculator!$C$10,A147,Loan_Calculator!$C$11,Loan_Calculator!$B$4),0)</f>
        <v>10940.234676181486</v>
      </c>
      <c r="F147" s="5">
        <f>IF(A147&lt;=Loan_Calculator!$C$11,-IPMT(Loan_Calculator!$C$10,A147,Loan_Calculator!$C$11,Loan_Calculator!$B$4),0)</f>
        <v>10755.346157956863</v>
      </c>
      <c r="G147" s="5">
        <f t="shared" si="6"/>
        <v>1507461.575858904</v>
      </c>
    </row>
    <row r="148" spans="1:7" x14ac:dyDescent="0.25">
      <c r="A148">
        <v>145</v>
      </c>
      <c r="B148" s="4">
        <f t="shared" si="7"/>
        <v>50618</v>
      </c>
      <c r="C148" s="5">
        <f t="shared" si="8"/>
        <v>1507461.575858904</v>
      </c>
      <c r="D148" s="5">
        <f>IF(A148&lt;=Loan_Calculator!$C$11,Loan_Calculator!$C$12,0)</f>
        <v>21695.580834138349</v>
      </c>
      <c r="E148" s="5">
        <f>IF(A148&lt;=Loan_Calculator!$C$11,-PPMT(Loan_Calculator!$C$10,A148,Loan_Calculator!$C$11,Loan_Calculator!$B$4),0)</f>
        <v>11017.728005137773</v>
      </c>
      <c r="F148" s="5">
        <f>IF(A148&lt;=Loan_Calculator!$C$11,-IPMT(Loan_Calculator!$C$10,A148,Loan_Calculator!$C$11,Loan_Calculator!$B$4),0)</f>
        <v>10677.852829000576</v>
      </c>
      <c r="G148" s="5">
        <f t="shared" si="6"/>
        <v>1496443.8478537663</v>
      </c>
    </row>
    <row r="149" spans="1:7" x14ac:dyDescent="0.25">
      <c r="A149">
        <v>146</v>
      </c>
      <c r="B149" s="4">
        <f t="shared" si="7"/>
        <v>50649</v>
      </c>
      <c r="C149" s="5">
        <f t="shared" si="8"/>
        <v>1496443.8478537663</v>
      </c>
      <c r="D149" s="5">
        <f>IF(A149&lt;=Loan_Calculator!$C$11,Loan_Calculator!$C$12,0)</f>
        <v>21695.580834138349</v>
      </c>
      <c r="E149" s="5">
        <f>IF(A149&lt;=Loan_Calculator!$C$11,-PPMT(Loan_Calculator!$C$10,A149,Loan_Calculator!$C$11,Loan_Calculator!$B$4),0)</f>
        <v>11095.770245174162</v>
      </c>
      <c r="F149" s="5">
        <f>IF(A149&lt;=Loan_Calculator!$C$11,-IPMT(Loan_Calculator!$C$10,A149,Loan_Calculator!$C$11,Loan_Calculator!$B$4),0)</f>
        <v>10599.810588964183</v>
      </c>
      <c r="G149" s="5">
        <f t="shared" si="6"/>
        <v>1485348.0776085921</v>
      </c>
    </row>
    <row r="150" spans="1:7" x14ac:dyDescent="0.25">
      <c r="A150">
        <v>147</v>
      </c>
      <c r="B150" s="4">
        <f t="shared" si="7"/>
        <v>50679</v>
      </c>
      <c r="C150" s="5">
        <f t="shared" si="8"/>
        <v>1485348.0776085921</v>
      </c>
      <c r="D150" s="5">
        <f>IF(A150&lt;=Loan_Calculator!$C$11,Loan_Calculator!$C$12,0)</f>
        <v>21695.580834138349</v>
      </c>
      <c r="E150" s="5">
        <f>IF(A150&lt;=Loan_Calculator!$C$11,-PPMT(Loan_Calculator!$C$10,A150,Loan_Calculator!$C$11,Loan_Calculator!$B$4),0)</f>
        <v>11174.365284410815</v>
      </c>
      <c r="F150" s="5">
        <f>IF(A150&lt;=Loan_Calculator!$C$11,-IPMT(Loan_Calculator!$C$10,A150,Loan_Calculator!$C$11,Loan_Calculator!$B$4),0)</f>
        <v>10521.215549727533</v>
      </c>
      <c r="G150" s="5">
        <f t="shared" si="6"/>
        <v>1474173.7123241813</v>
      </c>
    </row>
    <row r="151" spans="1:7" x14ac:dyDescent="0.25">
      <c r="A151">
        <v>148</v>
      </c>
      <c r="B151" s="4">
        <f t="shared" si="7"/>
        <v>50710</v>
      </c>
      <c r="C151" s="5">
        <f t="shared" si="8"/>
        <v>1474173.7123241813</v>
      </c>
      <c r="D151" s="5">
        <f>IF(A151&lt;=Loan_Calculator!$C$11,Loan_Calculator!$C$12,0)</f>
        <v>21695.580834138349</v>
      </c>
      <c r="E151" s="5">
        <f>IF(A151&lt;=Loan_Calculator!$C$11,-PPMT(Loan_Calculator!$C$10,A151,Loan_Calculator!$C$11,Loan_Calculator!$B$4),0)</f>
        <v>11253.517038508726</v>
      </c>
      <c r="F151" s="5">
        <f>IF(A151&lt;=Loan_Calculator!$C$11,-IPMT(Loan_Calculator!$C$10,A151,Loan_Calculator!$C$11,Loan_Calculator!$B$4),0)</f>
        <v>10442.06379562962</v>
      </c>
      <c r="G151" s="5">
        <f t="shared" si="6"/>
        <v>1462920.1952856726</v>
      </c>
    </row>
    <row r="152" spans="1:7" x14ac:dyDescent="0.25">
      <c r="A152">
        <v>149</v>
      </c>
      <c r="B152" s="4">
        <f t="shared" si="7"/>
        <v>50740</v>
      </c>
      <c r="C152" s="5">
        <f t="shared" si="8"/>
        <v>1462920.1952856726</v>
      </c>
      <c r="D152" s="5">
        <f>IF(A152&lt;=Loan_Calculator!$C$11,Loan_Calculator!$C$12,0)</f>
        <v>21695.580834138349</v>
      </c>
      <c r="E152" s="5">
        <f>IF(A152&lt;=Loan_Calculator!$C$11,-PPMT(Loan_Calculator!$C$10,A152,Loan_Calculator!$C$11,Loan_Calculator!$B$4),0)</f>
        <v>11333.229450864828</v>
      </c>
      <c r="F152" s="5">
        <f>IF(A152&lt;=Loan_Calculator!$C$11,-IPMT(Loan_Calculator!$C$10,A152,Loan_Calculator!$C$11,Loan_Calculator!$B$4),0)</f>
        <v>10362.351383273519</v>
      </c>
      <c r="G152" s="5">
        <f t="shared" si="6"/>
        <v>1451586.9658348078</v>
      </c>
    </row>
    <row r="153" spans="1:7" x14ac:dyDescent="0.25">
      <c r="A153">
        <v>150</v>
      </c>
      <c r="B153" s="4">
        <f t="shared" si="7"/>
        <v>50771</v>
      </c>
      <c r="C153" s="5">
        <f t="shared" si="8"/>
        <v>1451586.9658348078</v>
      </c>
      <c r="D153" s="5">
        <f>IF(A153&lt;=Loan_Calculator!$C$11,Loan_Calculator!$C$12,0)</f>
        <v>21695.580834138349</v>
      </c>
      <c r="E153" s="5">
        <f>IF(A153&lt;=Loan_Calculator!$C$11,-PPMT(Loan_Calculator!$C$10,A153,Loan_Calculator!$C$11,Loan_Calculator!$B$4),0)</f>
        <v>11413.506492808456</v>
      </c>
      <c r="F153" s="5">
        <f>IF(A153&lt;=Loan_Calculator!$C$11,-IPMT(Loan_Calculator!$C$10,A153,Loan_Calculator!$C$11,Loan_Calculator!$B$4),0)</f>
        <v>10282.074341329893</v>
      </c>
      <c r="G153" s="5">
        <f t="shared" si="6"/>
        <v>1440173.4593419994</v>
      </c>
    </row>
    <row r="154" spans="1:7" x14ac:dyDescent="0.25">
      <c r="A154">
        <v>151</v>
      </c>
      <c r="B154" s="4">
        <f t="shared" si="7"/>
        <v>50802</v>
      </c>
      <c r="C154" s="5">
        <f t="shared" si="8"/>
        <v>1440173.4593419994</v>
      </c>
      <c r="D154" s="5">
        <f>IF(A154&lt;=Loan_Calculator!$C$11,Loan_Calculator!$C$12,0)</f>
        <v>21695.580834138349</v>
      </c>
      <c r="E154" s="5">
        <f>IF(A154&lt;=Loan_Calculator!$C$11,-PPMT(Loan_Calculator!$C$10,A154,Loan_Calculator!$C$11,Loan_Calculator!$B$4),0)</f>
        <v>11494.35216379918</v>
      </c>
      <c r="F154" s="5">
        <f>IF(A154&lt;=Loan_Calculator!$C$11,-IPMT(Loan_Calculator!$C$10,A154,Loan_Calculator!$C$11,Loan_Calculator!$B$4),0)</f>
        <v>10201.228670339169</v>
      </c>
      <c r="G154" s="5">
        <f t="shared" si="6"/>
        <v>1428679.1071782003</v>
      </c>
    </row>
    <row r="155" spans="1:7" x14ac:dyDescent="0.25">
      <c r="A155">
        <v>152</v>
      </c>
      <c r="B155" s="4">
        <f t="shared" si="7"/>
        <v>50830</v>
      </c>
      <c r="C155" s="5">
        <f t="shared" si="8"/>
        <v>1428679.1071782003</v>
      </c>
      <c r="D155" s="5">
        <f>IF(A155&lt;=Loan_Calculator!$C$11,Loan_Calculator!$C$12,0)</f>
        <v>21695.580834138349</v>
      </c>
      <c r="E155" s="5">
        <f>IF(A155&lt;=Loan_Calculator!$C$11,-PPMT(Loan_Calculator!$C$10,A155,Loan_Calculator!$C$11,Loan_Calculator!$B$4),0)</f>
        <v>11575.770491626092</v>
      </c>
      <c r="F155" s="5">
        <f>IF(A155&lt;=Loan_Calculator!$C$11,-IPMT(Loan_Calculator!$C$10,A155,Loan_Calculator!$C$11,Loan_Calculator!$B$4),0)</f>
        <v>10119.810342512254</v>
      </c>
      <c r="G155" s="5">
        <f t="shared" si="6"/>
        <v>1417103.3366865742</v>
      </c>
    </row>
    <row r="156" spans="1:7" x14ac:dyDescent="0.25">
      <c r="A156">
        <v>153</v>
      </c>
      <c r="B156" s="4">
        <f t="shared" si="7"/>
        <v>50861</v>
      </c>
      <c r="C156" s="5">
        <f t="shared" si="8"/>
        <v>1417103.3366865742</v>
      </c>
      <c r="D156" s="5">
        <f>IF(A156&lt;=Loan_Calculator!$C$11,Loan_Calculator!$C$12,0)</f>
        <v>21695.580834138349</v>
      </c>
      <c r="E156" s="5">
        <f>IF(A156&lt;=Loan_Calculator!$C$11,-PPMT(Loan_Calculator!$C$10,A156,Loan_Calculator!$C$11,Loan_Calculator!$B$4),0)</f>
        <v>11657.765532608444</v>
      </c>
      <c r="F156" s="5">
        <f>IF(A156&lt;=Loan_Calculator!$C$11,-IPMT(Loan_Calculator!$C$10,A156,Loan_Calculator!$C$11,Loan_Calculator!$B$4),0)</f>
        <v>10037.815301529905</v>
      </c>
      <c r="G156" s="5">
        <f t="shared" si="6"/>
        <v>1405445.5711539658</v>
      </c>
    </row>
    <row r="157" spans="1:7" x14ac:dyDescent="0.25">
      <c r="A157">
        <v>154</v>
      </c>
      <c r="B157" s="4">
        <f t="shared" si="7"/>
        <v>50891</v>
      </c>
      <c r="C157" s="5">
        <f t="shared" si="8"/>
        <v>1405445.5711539658</v>
      </c>
      <c r="D157" s="5">
        <f>IF(A157&lt;=Loan_Calculator!$C$11,Loan_Calculator!$C$12,0)</f>
        <v>21695.580834138349</v>
      </c>
      <c r="E157" s="5">
        <f>IF(A157&lt;=Loan_Calculator!$C$11,-PPMT(Loan_Calculator!$C$10,A157,Loan_Calculator!$C$11,Loan_Calculator!$B$4),0)</f>
        <v>11740.341371797753</v>
      </c>
      <c r="F157" s="5">
        <f>IF(A157&lt;=Loan_Calculator!$C$11,-IPMT(Loan_Calculator!$C$10,A157,Loan_Calculator!$C$11,Loan_Calculator!$B$4),0)</f>
        <v>9955.2394623405962</v>
      </c>
      <c r="G157" s="5">
        <f t="shared" si="6"/>
        <v>1393705.2297821681</v>
      </c>
    </row>
    <row r="158" spans="1:7" x14ac:dyDescent="0.25">
      <c r="A158">
        <v>155</v>
      </c>
      <c r="B158" s="4">
        <f t="shared" si="7"/>
        <v>50922</v>
      </c>
      <c r="C158" s="5">
        <f t="shared" si="8"/>
        <v>1393705.2297821681</v>
      </c>
      <c r="D158" s="5">
        <f>IF(A158&lt;=Loan_Calculator!$C$11,Loan_Calculator!$C$12,0)</f>
        <v>21695.580834138349</v>
      </c>
      <c r="E158" s="5">
        <f>IF(A158&lt;=Loan_Calculator!$C$11,-PPMT(Loan_Calculator!$C$10,A158,Loan_Calculator!$C$11,Loan_Calculator!$B$4),0)</f>
        <v>11823.502123181321</v>
      </c>
      <c r="F158" s="5">
        <f>IF(A158&lt;=Loan_Calculator!$C$11,-IPMT(Loan_Calculator!$C$10,A158,Loan_Calculator!$C$11,Loan_Calculator!$B$4),0)</f>
        <v>9872.0787109570265</v>
      </c>
      <c r="G158" s="5">
        <f t="shared" si="6"/>
        <v>1381881.7276589868</v>
      </c>
    </row>
    <row r="159" spans="1:7" x14ac:dyDescent="0.25">
      <c r="A159">
        <v>156</v>
      </c>
      <c r="B159" s="4">
        <f t="shared" si="7"/>
        <v>50952</v>
      </c>
      <c r="C159" s="5">
        <f t="shared" si="8"/>
        <v>1381881.7276589868</v>
      </c>
      <c r="D159" s="5">
        <f>IF(A159&lt;=Loan_Calculator!$C$11,Loan_Calculator!$C$12,0)</f>
        <v>21695.580834138349</v>
      </c>
      <c r="E159" s="5">
        <f>IF(A159&lt;=Loan_Calculator!$C$11,-PPMT(Loan_Calculator!$C$10,A159,Loan_Calculator!$C$11,Loan_Calculator!$B$4),0)</f>
        <v>11907.251929887188</v>
      </c>
      <c r="F159" s="5">
        <f>IF(A159&lt;=Loan_Calculator!$C$11,-IPMT(Loan_Calculator!$C$10,A159,Loan_Calculator!$C$11,Loan_Calculator!$B$4),0)</f>
        <v>9788.3289042511587</v>
      </c>
      <c r="G159" s="5">
        <f t="shared" si="6"/>
        <v>1369974.4757290997</v>
      </c>
    </row>
    <row r="160" spans="1:7" x14ac:dyDescent="0.25">
      <c r="A160">
        <v>157</v>
      </c>
      <c r="B160" s="4">
        <f t="shared" si="7"/>
        <v>50983</v>
      </c>
      <c r="C160" s="5">
        <f t="shared" si="8"/>
        <v>1369974.4757290997</v>
      </c>
      <c r="D160" s="5">
        <f>IF(A160&lt;=Loan_Calculator!$C$11,Loan_Calculator!$C$12,0)</f>
        <v>21695.580834138349</v>
      </c>
      <c r="E160" s="5">
        <f>IF(A160&lt;=Loan_Calculator!$C$11,-PPMT(Loan_Calculator!$C$10,A160,Loan_Calculator!$C$11,Loan_Calculator!$B$4),0)</f>
        <v>11991.594964390557</v>
      </c>
      <c r="F160" s="5">
        <f>IF(A160&lt;=Loan_Calculator!$C$11,-IPMT(Loan_Calculator!$C$10,A160,Loan_Calculator!$C$11,Loan_Calculator!$B$4),0)</f>
        <v>9703.9858697477921</v>
      </c>
      <c r="G160" s="5">
        <f t="shared" si="6"/>
        <v>1357982.8807647091</v>
      </c>
    </row>
    <row r="161" spans="1:7" x14ac:dyDescent="0.25">
      <c r="A161">
        <v>158</v>
      </c>
      <c r="B161" s="4">
        <f t="shared" si="7"/>
        <v>51014</v>
      </c>
      <c r="C161" s="5">
        <f t="shared" si="8"/>
        <v>1357982.8807647091</v>
      </c>
      <c r="D161" s="5">
        <f>IF(A161&lt;=Loan_Calculator!$C$11,Loan_Calculator!$C$12,0)</f>
        <v>21695.580834138349</v>
      </c>
      <c r="E161" s="5">
        <f>IF(A161&lt;=Loan_Calculator!$C$11,-PPMT(Loan_Calculator!$C$10,A161,Loan_Calculator!$C$11,Loan_Calculator!$B$4),0)</f>
        <v>12076.535428721656</v>
      </c>
      <c r="F161" s="5">
        <f>IF(A161&lt;=Loan_Calculator!$C$11,-IPMT(Loan_Calculator!$C$10,A161,Loan_Calculator!$C$11,Loan_Calculator!$B$4),0)</f>
        <v>9619.0454054166912</v>
      </c>
      <c r="G161" s="5">
        <f t="shared" si="6"/>
        <v>1345906.3453359874</v>
      </c>
    </row>
    <row r="162" spans="1:7" x14ac:dyDescent="0.25">
      <c r="A162">
        <v>159</v>
      </c>
      <c r="B162" s="4">
        <f t="shared" si="7"/>
        <v>51044</v>
      </c>
      <c r="C162" s="5">
        <f t="shared" si="8"/>
        <v>1345906.3453359874</v>
      </c>
      <c r="D162" s="5">
        <f>IF(A162&lt;=Loan_Calculator!$C$11,Loan_Calculator!$C$12,0)</f>
        <v>21695.580834138349</v>
      </c>
      <c r="E162" s="5">
        <f>IF(A162&lt;=Loan_Calculator!$C$11,-PPMT(Loan_Calculator!$C$10,A162,Loan_Calculator!$C$11,Loan_Calculator!$B$4),0)</f>
        <v>12162.077554675101</v>
      </c>
      <c r="F162" s="5">
        <f>IF(A162&lt;=Loan_Calculator!$C$11,-IPMT(Loan_Calculator!$C$10,A162,Loan_Calculator!$C$11,Loan_Calculator!$B$4),0)</f>
        <v>9533.5032794632498</v>
      </c>
      <c r="G162" s="5">
        <f t="shared" si="6"/>
        <v>1333744.2677813123</v>
      </c>
    </row>
    <row r="163" spans="1:7" x14ac:dyDescent="0.25">
      <c r="A163">
        <v>160</v>
      </c>
      <c r="B163" s="4">
        <f t="shared" si="7"/>
        <v>51075</v>
      </c>
      <c r="C163" s="5">
        <f t="shared" si="8"/>
        <v>1333744.2677813123</v>
      </c>
      <c r="D163" s="5">
        <f>IF(A163&lt;=Loan_Calculator!$C$11,Loan_Calculator!$C$12,0)</f>
        <v>21695.580834138349</v>
      </c>
      <c r="E163" s="5">
        <f>IF(A163&lt;=Loan_Calculator!$C$11,-PPMT(Loan_Calculator!$C$10,A163,Loan_Calculator!$C$11,Loan_Calculator!$B$4),0)</f>
        <v>12248.225604020716</v>
      </c>
      <c r="F163" s="5">
        <f>IF(A163&lt;=Loan_Calculator!$C$11,-IPMT(Loan_Calculator!$C$10,A163,Loan_Calculator!$C$11,Loan_Calculator!$B$4),0)</f>
        <v>9447.3552301176314</v>
      </c>
      <c r="G163" s="5">
        <f t="shared" si="6"/>
        <v>1321496.0421772916</v>
      </c>
    </row>
    <row r="164" spans="1:7" x14ac:dyDescent="0.25">
      <c r="A164">
        <v>161</v>
      </c>
      <c r="B164" s="4">
        <f t="shared" si="7"/>
        <v>51105</v>
      </c>
      <c r="C164" s="5">
        <f t="shared" si="8"/>
        <v>1321496.0421772916</v>
      </c>
      <c r="D164" s="5">
        <f>IF(A164&lt;=Loan_Calculator!$C$11,Loan_Calculator!$C$12,0)</f>
        <v>21695.580834138349</v>
      </c>
      <c r="E164" s="5">
        <f>IF(A164&lt;=Loan_Calculator!$C$11,-PPMT(Loan_Calculator!$C$10,A164,Loan_Calculator!$C$11,Loan_Calculator!$B$4),0)</f>
        <v>12334.983868715861</v>
      </c>
      <c r="F164" s="5">
        <f>IF(A164&lt;=Loan_Calculator!$C$11,-IPMT(Loan_Calculator!$C$10,A164,Loan_Calculator!$C$11,Loan_Calculator!$B$4),0)</f>
        <v>9360.5969654224846</v>
      </c>
      <c r="G164" s="5">
        <f t="shared" si="6"/>
        <v>1309161.0583085758</v>
      </c>
    </row>
    <row r="165" spans="1:7" x14ac:dyDescent="0.25">
      <c r="A165">
        <v>162</v>
      </c>
      <c r="B165" s="4">
        <f t="shared" si="7"/>
        <v>51136</v>
      </c>
      <c r="C165" s="5">
        <f t="shared" si="8"/>
        <v>1309161.0583085758</v>
      </c>
      <c r="D165" s="5">
        <f>IF(A165&lt;=Loan_Calculator!$C$11,Loan_Calculator!$C$12,0)</f>
        <v>21695.580834138349</v>
      </c>
      <c r="E165" s="5">
        <f>IF(A165&lt;=Loan_Calculator!$C$11,-PPMT(Loan_Calculator!$C$10,A165,Loan_Calculator!$C$11,Loan_Calculator!$B$4),0)</f>
        <v>12422.356671119267</v>
      </c>
      <c r="F165" s="5">
        <f>IF(A165&lt;=Loan_Calculator!$C$11,-IPMT(Loan_Calculator!$C$10,A165,Loan_Calculator!$C$11,Loan_Calculator!$B$4),0)</f>
        <v>9273.2241630190802</v>
      </c>
      <c r="G165" s="5">
        <f t="shared" si="6"/>
        <v>1296738.7016374564</v>
      </c>
    </row>
    <row r="166" spans="1:7" x14ac:dyDescent="0.25">
      <c r="A166">
        <v>163</v>
      </c>
      <c r="B166" s="4">
        <f t="shared" si="7"/>
        <v>51167</v>
      </c>
      <c r="C166" s="5">
        <f t="shared" si="8"/>
        <v>1296738.7016374564</v>
      </c>
      <c r="D166" s="5">
        <f>IF(A166&lt;=Loan_Calculator!$C$11,Loan_Calculator!$C$12,0)</f>
        <v>21695.580834138349</v>
      </c>
      <c r="E166" s="5">
        <f>IF(A166&lt;=Loan_Calculator!$C$11,-PPMT(Loan_Calculator!$C$10,A166,Loan_Calculator!$C$11,Loan_Calculator!$B$4),0)</f>
        <v>12510.348364206362</v>
      </c>
      <c r="F166" s="5">
        <f>IF(A166&lt;=Loan_Calculator!$C$11,-IPMT(Loan_Calculator!$C$10,A166,Loan_Calculator!$C$11,Loan_Calculator!$B$4),0)</f>
        <v>9185.2324699319852</v>
      </c>
      <c r="G166" s="5">
        <f t="shared" si="6"/>
        <v>1284228.3532732502</v>
      </c>
    </row>
    <row r="167" spans="1:7" x14ac:dyDescent="0.25">
      <c r="A167">
        <v>164</v>
      </c>
      <c r="B167" s="4">
        <f t="shared" si="7"/>
        <v>51196</v>
      </c>
      <c r="C167" s="5">
        <f t="shared" si="8"/>
        <v>1284228.3532732502</v>
      </c>
      <c r="D167" s="5">
        <f>IF(A167&lt;=Loan_Calculator!$C$11,Loan_Calculator!$C$12,0)</f>
        <v>21695.580834138349</v>
      </c>
      <c r="E167" s="5">
        <f>IF(A167&lt;=Loan_Calculator!$C$11,-PPMT(Loan_Calculator!$C$10,A167,Loan_Calculator!$C$11,Loan_Calculator!$B$4),0)</f>
        <v>12598.963331786155</v>
      </c>
      <c r="F167" s="5">
        <f>IF(A167&lt;=Loan_Calculator!$C$11,-IPMT(Loan_Calculator!$C$10,A167,Loan_Calculator!$C$11,Loan_Calculator!$B$4),0)</f>
        <v>9096.6175023521901</v>
      </c>
      <c r="G167" s="5">
        <f t="shared" si="6"/>
        <v>1271629.3899414639</v>
      </c>
    </row>
    <row r="168" spans="1:7" x14ac:dyDescent="0.25">
      <c r="A168">
        <v>165</v>
      </c>
      <c r="B168" s="4">
        <f t="shared" si="7"/>
        <v>51227</v>
      </c>
      <c r="C168" s="5">
        <f t="shared" si="8"/>
        <v>1271629.3899414639</v>
      </c>
      <c r="D168" s="5">
        <f>IF(A168&lt;=Loan_Calculator!$C$11,Loan_Calculator!$C$12,0)</f>
        <v>21695.580834138349</v>
      </c>
      <c r="E168" s="5">
        <f>IF(A168&lt;=Loan_Calculator!$C$11,-PPMT(Loan_Calculator!$C$10,A168,Loan_Calculator!$C$11,Loan_Calculator!$B$4),0)</f>
        <v>12688.205988719641</v>
      </c>
      <c r="F168" s="5">
        <f>IF(A168&lt;=Loan_Calculator!$C$11,-IPMT(Loan_Calculator!$C$10,A168,Loan_Calculator!$C$11,Loan_Calculator!$B$4),0)</f>
        <v>9007.3748454187062</v>
      </c>
      <c r="G168" s="5">
        <f t="shared" si="6"/>
        <v>1258941.1839527444</v>
      </c>
    </row>
    <row r="169" spans="1:7" x14ac:dyDescent="0.25">
      <c r="A169">
        <v>166</v>
      </c>
      <c r="B169" s="4">
        <f t="shared" si="7"/>
        <v>51257</v>
      </c>
      <c r="C169" s="5">
        <f t="shared" si="8"/>
        <v>1258941.1839527444</v>
      </c>
      <c r="D169" s="5">
        <f>IF(A169&lt;=Loan_Calculator!$C$11,Loan_Calculator!$C$12,0)</f>
        <v>21695.580834138349</v>
      </c>
      <c r="E169" s="5">
        <f>IF(A169&lt;=Loan_Calculator!$C$11,-PPMT(Loan_Calculator!$C$10,A169,Loan_Calculator!$C$11,Loan_Calculator!$B$4),0)</f>
        <v>12778.080781139739</v>
      </c>
      <c r="F169" s="5">
        <f>IF(A169&lt;=Loan_Calculator!$C$11,-IPMT(Loan_Calculator!$C$10,A169,Loan_Calculator!$C$11,Loan_Calculator!$B$4),0)</f>
        <v>8917.5000529986082</v>
      </c>
      <c r="G169" s="5">
        <f t="shared" si="6"/>
        <v>1246163.1031716047</v>
      </c>
    </row>
    <row r="170" spans="1:7" x14ac:dyDescent="0.25">
      <c r="A170">
        <v>167</v>
      </c>
      <c r="B170" s="4">
        <f t="shared" si="7"/>
        <v>51288</v>
      </c>
      <c r="C170" s="5">
        <f t="shared" si="8"/>
        <v>1246163.1031716047</v>
      </c>
      <c r="D170" s="5">
        <f>IF(A170&lt;=Loan_Calculator!$C$11,Loan_Calculator!$C$12,0)</f>
        <v>21695.580834138349</v>
      </c>
      <c r="E170" s="5">
        <f>IF(A170&lt;=Loan_Calculator!$C$11,-PPMT(Loan_Calculator!$C$10,A170,Loan_Calculator!$C$11,Loan_Calculator!$B$4),0)</f>
        <v>12868.592186672815</v>
      </c>
      <c r="F170" s="5">
        <f>IF(A170&lt;=Loan_Calculator!$C$11,-IPMT(Loan_Calculator!$C$10,A170,Loan_Calculator!$C$11,Loan_Calculator!$B$4),0)</f>
        <v>8826.9886474655341</v>
      </c>
      <c r="G170" s="5">
        <f t="shared" si="6"/>
        <v>1233294.5109849318</v>
      </c>
    </row>
    <row r="171" spans="1:7" x14ac:dyDescent="0.25">
      <c r="A171">
        <v>168</v>
      </c>
      <c r="B171" s="4">
        <f t="shared" si="7"/>
        <v>51318</v>
      </c>
      <c r="C171" s="5">
        <f t="shared" si="8"/>
        <v>1233294.5109849318</v>
      </c>
      <c r="D171" s="5">
        <f>IF(A171&lt;=Loan_Calculator!$C$11,Loan_Calculator!$C$12,0)</f>
        <v>21695.580834138349</v>
      </c>
      <c r="E171" s="5">
        <f>IF(A171&lt;=Loan_Calculator!$C$11,-PPMT(Loan_Calculator!$C$10,A171,Loan_Calculator!$C$11,Loan_Calculator!$B$4),0)</f>
        <v>12959.744714661745</v>
      </c>
      <c r="F171" s="5">
        <f>IF(A171&lt;=Loan_Calculator!$C$11,-IPMT(Loan_Calculator!$C$10,A171,Loan_Calculator!$C$11,Loan_Calculator!$B$4),0)</f>
        <v>8735.8361194766021</v>
      </c>
      <c r="G171" s="5">
        <f t="shared" si="6"/>
        <v>1220334.7662702701</v>
      </c>
    </row>
    <row r="172" spans="1:7" x14ac:dyDescent="0.25">
      <c r="A172">
        <v>169</v>
      </c>
      <c r="B172" s="4">
        <f t="shared" si="7"/>
        <v>51349</v>
      </c>
      <c r="C172" s="5">
        <f t="shared" si="8"/>
        <v>1220334.7662702701</v>
      </c>
      <c r="D172" s="5">
        <f>IF(A172&lt;=Loan_Calculator!$C$11,Loan_Calculator!$C$12,0)</f>
        <v>21695.580834138349</v>
      </c>
      <c r="E172" s="5">
        <f>IF(A172&lt;=Loan_Calculator!$C$11,-PPMT(Loan_Calculator!$C$10,A172,Loan_Calculator!$C$11,Loan_Calculator!$B$4),0)</f>
        <v>13051.542906390598</v>
      </c>
      <c r="F172" s="5">
        <f>IF(A172&lt;=Loan_Calculator!$C$11,-IPMT(Loan_Calculator!$C$10,A172,Loan_Calculator!$C$11,Loan_Calculator!$B$4),0)</f>
        <v>8644.0379277477496</v>
      </c>
      <c r="G172" s="5">
        <f t="shared" si="6"/>
        <v>1207283.2233638796</v>
      </c>
    </row>
    <row r="173" spans="1:7" x14ac:dyDescent="0.25">
      <c r="A173">
        <v>170</v>
      </c>
      <c r="B173" s="4">
        <f t="shared" si="7"/>
        <v>51380</v>
      </c>
      <c r="C173" s="5">
        <f t="shared" si="8"/>
        <v>1207283.2233638796</v>
      </c>
      <c r="D173" s="5">
        <f>IF(A173&lt;=Loan_Calculator!$C$11,Loan_Calculator!$C$12,0)</f>
        <v>21695.580834138349</v>
      </c>
      <c r="E173" s="5">
        <f>IF(A173&lt;=Loan_Calculator!$C$11,-PPMT(Loan_Calculator!$C$10,A173,Loan_Calculator!$C$11,Loan_Calculator!$B$4),0)</f>
        <v>13143.991335310868</v>
      </c>
      <c r="F173" s="5">
        <f>IF(A173&lt;=Loan_Calculator!$C$11,-IPMT(Loan_Calculator!$C$10,A173,Loan_Calculator!$C$11,Loan_Calculator!$B$4),0)</f>
        <v>8551.5894988274849</v>
      </c>
      <c r="G173" s="5">
        <f t="shared" si="6"/>
        <v>1194139.2320285686</v>
      </c>
    </row>
    <row r="174" spans="1:7" x14ac:dyDescent="0.25">
      <c r="A174">
        <v>171</v>
      </c>
      <c r="B174" s="4">
        <f t="shared" si="7"/>
        <v>51410</v>
      </c>
      <c r="C174" s="5">
        <f t="shared" si="8"/>
        <v>1194139.2320285686</v>
      </c>
      <c r="D174" s="5">
        <f>IF(A174&lt;=Loan_Calculator!$C$11,Loan_Calculator!$C$12,0)</f>
        <v>21695.580834138349</v>
      </c>
      <c r="E174" s="5">
        <f>IF(A174&lt;=Loan_Calculator!$C$11,-PPMT(Loan_Calculator!$C$10,A174,Loan_Calculator!$C$11,Loan_Calculator!$B$4),0)</f>
        <v>13237.094607269319</v>
      </c>
      <c r="F174" s="5">
        <f>IF(A174&lt;=Loan_Calculator!$C$11,-IPMT(Loan_Calculator!$C$10,A174,Loan_Calculator!$C$11,Loan_Calculator!$B$4),0)</f>
        <v>8458.4862268690304</v>
      </c>
      <c r="G174" s="5">
        <f t="shared" si="6"/>
        <v>1180902.1374212992</v>
      </c>
    </row>
    <row r="175" spans="1:7" x14ac:dyDescent="0.25">
      <c r="A175">
        <v>172</v>
      </c>
      <c r="B175" s="4">
        <f t="shared" si="7"/>
        <v>51441</v>
      </c>
      <c r="C175" s="5">
        <f t="shared" si="8"/>
        <v>1180902.1374212992</v>
      </c>
      <c r="D175" s="5">
        <f>IF(A175&lt;=Loan_Calculator!$C$11,Loan_Calculator!$C$12,0)</f>
        <v>21695.580834138349</v>
      </c>
      <c r="E175" s="5">
        <f>IF(A175&lt;=Loan_Calculator!$C$11,-PPMT(Loan_Calculator!$C$10,A175,Loan_Calculator!$C$11,Loan_Calculator!$B$4),0)</f>
        <v>13330.857360737476</v>
      </c>
      <c r="F175" s="5">
        <f>IF(A175&lt;=Loan_Calculator!$C$11,-IPMT(Loan_Calculator!$C$10,A175,Loan_Calculator!$C$11,Loan_Calculator!$B$4),0)</f>
        <v>8364.7234734008744</v>
      </c>
      <c r="G175" s="5">
        <f t="shared" si="6"/>
        <v>1167571.2800605618</v>
      </c>
    </row>
    <row r="176" spans="1:7" x14ac:dyDescent="0.25">
      <c r="A176">
        <v>173</v>
      </c>
      <c r="B176" s="4">
        <f t="shared" si="7"/>
        <v>51471</v>
      </c>
      <c r="C176" s="5">
        <f t="shared" si="8"/>
        <v>1167571.2800605618</v>
      </c>
      <c r="D176" s="5">
        <f>IF(A176&lt;=Loan_Calculator!$C$11,Loan_Calculator!$C$12,0)</f>
        <v>21695.580834138349</v>
      </c>
      <c r="E176" s="5">
        <f>IF(A176&lt;=Loan_Calculator!$C$11,-PPMT(Loan_Calculator!$C$10,A176,Loan_Calculator!$C$11,Loan_Calculator!$B$4),0)</f>
        <v>13425.2842670427</v>
      </c>
      <c r="F176" s="5">
        <f>IF(A176&lt;=Loan_Calculator!$C$11,-IPMT(Loan_Calculator!$C$10,A176,Loan_Calculator!$C$11,Loan_Calculator!$B$4),0)</f>
        <v>8270.296567095651</v>
      </c>
      <c r="G176" s="5">
        <f t="shared" si="6"/>
        <v>1154145.9957935191</v>
      </c>
    </row>
    <row r="177" spans="1:7" x14ac:dyDescent="0.25">
      <c r="A177">
        <v>174</v>
      </c>
      <c r="B177" s="4">
        <f t="shared" si="7"/>
        <v>51502</v>
      </c>
      <c r="C177" s="5">
        <f t="shared" si="8"/>
        <v>1154145.9957935191</v>
      </c>
      <c r="D177" s="5">
        <f>IF(A177&lt;=Loan_Calculator!$C$11,Loan_Calculator!$C$12,0)</f>
        <v>21695.580834138349</v>
      </c>
      <c r="E177" s="5">
        <f>IF(A177&lt;=Loan_Calculator!$C$11,-PPMT(Loan_Calculator!$C$10,A177,Loan_Calculator!$C$11,Loan_Calculator!$B$4),0)</f>
        <v>13520.38003060092</v>
      </c>
      <c r="F177" s="5">
        <f>IF(A177&lt;=Loan_Calculator!$C$11,-IPMT(Loan_Calculator!$C$10,A177,Loan_Calculator!$C$11,Loan_Calculator!$B$4),0)</f>
        <v>8175.2008035374311</v>
      </c>
      <c r="G177" s="5">
        <f t="shared" si="6"/>
        <v>1140625.6157629183</v>
      </c>
    </row>
    <row r="178" spans="1:7" x14ac:dyDescent="0.25">
      <c r="A178">
        <v>175</v>
      </c>
      <c r="B178" s="4">
        <f t="shared" si="7"/>
        <v>51533</v>
      </c>
      <c r="C178" s="5">
        <f t="shared" si="8"/>
        <v>1140625.6157629183</v>
      </c>
      <c r="D178" s="5">
        <f>IF(A178&lt;=Loan_Calculator!$C$11,Loan_Calculator!$C$12,0)</f>
        <v>21695.580834138349</v>
      </c>
      <c r="E178" s="5">
        <f>IF(A178&lt;=Loan_Calculator!$C$11,-PPMT(Loan_Calculator!$C$10,A178,Loan_Calculator!$C$11,Loan_Calculator!$B$4),0)</f>
        <v>13616.149389151009</v>
      </c>
      <c r="F178" s="5">
        <f>IF(A178&lt;=Loan_Calculator!$C$11,-IPMT(Loan_Calculator!$C$10,A178,Loan_Calculator!$C$11,Loan_Calculator!$B$4),0)</f>
        <v>8079.43144498734</v>
      </c>
      <c r="G178" s="5">
        <f t="shared" si="6"/>
        <v>1127009.4663737672</v>
      </c>
    </row>
    <row r="179" spans="1:7" x14ac:dyDescent="0.25">
      <c r="A179">
        <v>176</v>
      </c>
      <c r="B179" s="4">
        <f t="shared" si="7"/>
        <v>51561</v>
      </c>
      <c r="C179" s="5">
        <f t="shared" si="8"/>
        <v>1127009.4663737672</v>
      </c>
      <c r="D179" s="5">
        <f>IF(A179&lt;=Loan_Calculator!$C$11,Loan_Calculator!$C$12,0)</f>
        <v>21695.580834138349</v>
      </c>
      <c r="E179" s="5">
        <f>IF(A179&lt;=Loan_Calculator!$C$11,-PPMT(Loan_Calculator!$C$10,A179,Loan_Calculator!$C$11,Loan_Calculator!$B$4),0)</f>
        <v>13712.597113990829</v>
      </c>
      <c r="F179" s="5">
        <f>IF(A179&lt;=Loan_Calculator!$C$11,-IPMT(Loan_Calculator!$C$10,A179,Loan_Calculator!$C$11,Loan_Calculator!$B$4),0)</f>
        <v>7982.9837201475202</v>
      </c>
      <c r="G179" s="5">
        <f t="shared" si="6"/>
        <v>1113296.8692597763</v>
      </c>
    </row>
    <row r="180" spans="1:7" x14ac:dyDescent="0.25">
      <c r="A180">
        <v>177</v>
      </c>
      <c r="B180" s="4">
        <f t="shared" si="7"/>
        <v>51592</v>
      </c>
      <c r="C180" s="5">
        <f t="shared" si="8"/>
        <v>1113296.8692597763</v>
      </c>
      <c r="D180" s="5">
        <f>IF(A180&lt;=Loan_Calculator!$C$11,Loan_Calculator!$C$12,0)</f>
        <v>21695.580834138349</v>
      </c>
      <c r="E180" s="5">
        <f>IF(A180&lt;=Loan_Calculator!$C$11,-PPMT(Loan_Calculator!$C$10,A180,Loan_Calculator!$C$11,Loan_Calculator!$B$4),0)</f>
        <v>13809.728010214929</v>
      </c>
      <c r="F180" s="5">
        <f>IF(A180&lt;=Loan_Calculator!$C$11,-IPMT(Loan_Calculator!$C$10,A180,Loan_Calculator!$C$11,Loan_Calculator!$B$4),0)</f>
        <v>7885.8528239234192</v>
      </c>
      <c r="G180" s="5">
        <f t="shared" si="6"/>
        <v>1099487.1412495614</v>
      </c>
    </row>
    <row r="181" spans="1:7" x14ac:dyDescent="0.25">
      <c r="A181">
        <v>178</v>
      </c>
      <c r="B181" s="4">
        <f t="shared" si="7"/>
        <v>51622</v>
      </c>
      <c r="C181" s="5">
        <f t="shared" si="8"/>
        <v>1099487.1412495614</v>
      </c>
      <c r="D181" s="5">
        <f>IF(A181&lt;=Loan_Calculator!$C$11,Loan_Calculator!$C$12,0)</f>
        <v>21695.580834138349</v>
      </c>
      <c r="E181" s="5">
        <f>IF(A181&lt;=Loan_Calculator!$C$11,-PPMT(Loan_Calculator!$C$10,A181,Loan_Calculator!$C$11,Loan_Calculator!$B$4),0)</f>
        <v>13907.54691695395</v>
      </c>
      <c r="F181" s="5">
        <f>IF(A181&lt;=Loan_Calculator!$C$11,-IPMT(Loan_Calculator!$C$10,A181,Loan_Calculator!$C$11,Loan_Calculator!$B$4),0)</f>
        <v>7788.0339171843962</v>
      </c>
      <c r="G181" s="5">
        <f t="shared" si="6"/>
        <v>1085579.5943326075</v>
      </c>
    </row>
    <row r="182" spans="1:7" x14ac:dyDescent="0.25">
      <c r="A182">
        <v>179</v>
      </c>
      <c r="B182" s="4">
        <f t="shared" si="7"/>
        <v>51653</v>
      </c>
      <c r="C182" s="5">
        <f t="shared" si="8"/>
        <v>1085579.5943326075</v>
      </c>
      <c r="D182" s="5">
        <f>IF(A182&lt;=Loan_Calculator!$C$11,Loan_Calculator!$C$12,0)</f>
        <v>21695.580834138349</v>
      </c>
      <c r="E182" s="5">
        <f>IF(A182&lt;=Loan_Calculator!$C$11,-PPMT(Loan_Calculator!$C$10,A182,Loan_Calculator!$C$11,Loan_Calculator!$B$4),0)</f>
        <v>14006.05870761571</v>
      </c>
      <c r="F182" s="5">
        <f>IF(A182&lt;=Loan_Calculator!$C$11,-IPMT(Loan_Calculator!$C$10,A182,Loan_Calculator!$C$11,Loan_Calculator!$B$4),0)</f>
        <v>7689.5221265226382</v>
      </c>
      <c r="G182" s="5">
        <f t="shared" si="6"/>
        <v>1071573.5356249916</v>
      </c>
    </row>
    <row r="183" spans="1:7" x14ac:dyDescent="0.25">
      <c r="A183">
        <v>180</v>
      </c>
      <c r="B183" s="4">
        <f t="shared" si="7"/>
        <v>51683</v>
      </c>
      <c r="C183" s="5">
        <f t="shared" si="8"/>
        <v>1071573.5356249916</v>
      </c>
      <c r="D183" s="5">
        <f>IF(A183&lt;=Loan_Calculator!$C$11,Loan_Calculator!$C$12,0)</f>
        <v>21695.580834138349</v>
      </c>
      <c r="E183" s="5">
        <f>IF(A183&lt;=Loan_Calculator!$C$11,-PPMT(Loan_Calculator!$C$10,A183,Loan_Calculator!$C$11,Loan_Calculator!$B$4),0)</f>
        <v>14105.268290127988</v>
      </c>
      <c r="F183" s="5">
        <f>IF(A183&lt;=Loan_Calculator!$C$11,-IPMT(Loan_Calculator!$C$10,A183,Loan_Calculator!$C$11,Loan_Calculator!$B$4),0)</f>
        <v>7590.3125440103613</v>
      </c>
      <c r="G183" s="5">
        <f t="shared" si="6"/>
        <v>1057468.2673348635</v>
      </c>
    </row>
    <row r="184" spans="1:7" x14ac:dyDescent="0.25">
      <c r="A184">
        <v>181</v>
      </c>
      <c r="B184" s="4">
        <f t="shared" si="7"/>
        <v>51714</v>
      </c>
      <c r="C184" s="5">
        <f t="shared" si="8"/>
        <v>1057468.2673348635</v>
      </c>
      <c r="D184" s="5">
        <f>IF(A184&lt;=Loan_Calculator!$C$11,Loan_Calculator!$C$12,0)</f>
        <v>21695.580834138349</v>
      </c>
      <c r="E184" s="5">
        <f>IF(A184&lt;=Loan_Calculator!$C$11,-PPMT(Loan_Calculator!$C$10,A184,Loan_Calculator!$C$11,Loan_Calculator!$B$4),0)</f>
        <v>14205.180607183062</v>
      </c>
      <c r="F184" s="5">
        <f>IF(A184&lt;=Loan_Calculator!$C$11,-IPMT(Loan_Calculator!$C$10,A184,Loan_Calculator!$C$11,Loan_Calculator!$B$4),0)</f>
        <v>7490.4002269552893</v>
      </c>
      <c r="G184" s="5">
        <f t="shared" si="6"/>
        <v>1043263.0867276805</v>
      </c>
    </row>
    <row r="185" spans="1:7" x14ac:dyDescent="0.25">
      <c r="A185">
        <v>182</v>
      </c>
      <c r="B185" s="4">
        <f t="shared" si="7"/>
        <v>51745</v>
      </c>
      <c r="C185" s="5">
        <f t="shared" si="8"/>
        <v>1043263.0867276805</v>
      </c>
      <c r="D185" s="5">
        <f>IF(A185&lt;=Loan_Calculator!$C$11,Loan_Calculator!$C$12,0)</f>
        <v>21695.580834138349</v>
      </c>
      <c r="E185" s="5">
        <f>IF(A185&lt;=Loan_Calculator!$C$11,-PPMT(Loan_Calculator!$C$10,A185,Loan_Calculator!$C$11,Loan_Calculator!$B$4),0)</f>
        <v>14305.80063648394</v>
      </c>
      <c r="F185" s="5">
        <f>IF(A185&lt;=Loan_Calculator!$C$11,-IPMT(Loan_Calculator!$C$10,A185,Loan_Calculator!$C$11,Loan_Calculator!$B$4),0)</f>
        <v>7389.7801976544088</v>
      </c>
      <c r="G185" s="5">
        <f t="shared" si="6"/>
        <v>1028957.2860911966</v>
      </c>
    </row>
    <row r="186" spans="1:7" x14ac:dyDescent="0.25">
      <c r="A186">
        <v>183</v>
      </c>
      <c r="B186" s="4">
        <f t="shared" si="7"/>
        <v>51775</v>
      </c>
      <c r="C186" s="5">
        <f t="shared" si="8"/>
        <v>1028957.2860911966</v>
      </c>
      <c r="D186" s="5">
        <f>IF(A186&lt;=Loan_Calculator!$C$11,Loan_Calculator!$C$12,0)</f>
        <v>21695.580834138349</v>
      </c>
      <c r="E186" s="5">
        <f>IF(A186&lt;=Loan_Calculator!$C$11,-PPMT(Loan_Calculator!$C$10,A186,Loan_Calculator!$C$11,Loan_Calculator!$B$4),0)</f>
        <v>14407.133390992367</v>
      </c>
      <c r="F186" s="5">
        <f>IF(A186&lt;=Loan_Calculator!$C$11,-IPMT(Loan_Calculator!$C$10,A186,Loan_Calculator!$C$11,Loan_Calculator!$B$4),0)</f>
        <v>7288.4474431459803</v>
      </c>
      <c r="G186" s="5">
        <f t="shared" si="6"/>
        <v>1014550.1527002042</v>
      </c>
    </row>
    <row r="187" spans="1:7" x14ac:dyDescent="0.25">
      <c r="A187">
        <v>184</v>
      </c>
      <c r="B187" s="4">
        <f t="shared" si="7"/>
        <v>51806</v>
      </c>
      <c r="C187" s="5">
        <f t="shared" si="8"/>
        <v>1014550.1527002042</v>
      </c>
      <c r="D187" s="5">
        <f>IF(A187&lt;=Loan_Calculator!$C$11,Loan_Calculator!$C$12,0)</f>
        <v>21695.580834138349</v>
      </c>
      <c r="E187" s="5">
        <f>IF(A187&lt;=Loan_Calculator!$C$11,-PPMT(Loan_Calculator!$C$10,A187,Loan_Calculator!$C$11,Loan_Calculator!$B$4),0)</f>
        <v>14509.183919178564</v>
      </c>
      <c r="F187" s="5">
        <f>IF(A187&lt;=Loan_Calculator!$C$11,-IPMT(Loan_Calculator!$C$10,A187,Loan_Calculator!$C$11,Loan_Calculator!$B$4),0)</f>
        <v>7186.3969149597833</v>
      </c>
      <c r="G187" s="5">
        <f t="shared" si="6"/>
        <v>1000040.9687810256</v>
      </c>
    </row>
    <row r="188" spans="1:7" x14ac:dyDescent="0.25">
      <c r="A188">
        <v>185</v>
      </c>
      <c r="B188" s="4">
        <f t="shared" si="7"/>
        <v>51836</v>
      </c>
      <c r="C188" s="5">
        <f t="shared" si="8"/>
        <v>1000040.9687810256</v>
      </c>
      <c r="D188" s="5">
        <f>IF(A188&lt;=Loan_Calculator!$C$11,Loan_Calculator!$C$12,0)</f>
        <v>21695.580834138349</v>
      </c>
      <c r="E188" s="5">
        <f>IF(A188&lt;=Loan_Calculator!$C$11,-PPMT(Loan_Calculator!$C$10,A188,Loan_Calculator!$C$11,Loan_Calculator!$B$4),0)</f>
        <v>14611.957305272745</v>
      </c>
      <c r="F188" s="5">
        <f>IF(A188&lt;=Loan_Calculator!$C$11,-IPMT(Loan_Calculator!$C$10,A188,Loan_Calculator!$C$11,Loan_Calculator!$B$4),0)</f>
        <v>7083.6235288656035</v>
      </c>
      <c r="G188" s="5">
        <f t="shared" si="6"/>
        <v>985429.01147575292</v>
      </c>
    </row>
    <row r="189" spans="1:7" x14ac:dyDescent="0.25">
      <c r="A189">
        <v>186</v>
      </c>
      <c r="B189" s="4">
        <f t="shared" si="7"/>
        <v>51867</v>
      </c>
      <c r="C189" s="5">
        <f t="shared" si="8"/>
        <v>985429.01147575292</v>
      </c>
      <c r="D189" s="5">
        <f>IF(A189&lt;=Loan_Calculator!$C$11,Loan_Calculator!$C$12,0)</f>
        <v>21695.580834138349</v>
      </c>
      <c r="E189" s="5">
        <f>IF(A189&lt;=Loan_Calculator!$C$11,-PPMT(Loan_Calculator!$C$10,A189,Loan_Calculator!$C$11,Loan_Calculator!$B$4),0)</f>
        <v>14715.458669518426</v>
      </c>
      <c r="F189" s="5">
        <f>IF(A189&lt;=Loan_Calculator!$C$11,-IPMT(Loan_Calculator!$C$10,A189,Loan_Calculator!$C$11,Loan_Calculator!$B$4),0)</f>
        <v>6980.1221646199201</v>
      </c>
      <c r="G189" s="5">
        <f t="shared" si="6"/>
        <v>970713.55280623445</v>
      </c>
    </row>
    <row r="190" spans="1:7" x14ac:dyDescent="0.25">
      <c r="A190">
        <v>187</v>
      </c>
      <c r="B190" s="4">
        <f t="shared" si="7"/>
        <v>51898</v>
      </c>
      <c r="C190" s="5">
        <f t="shared" si="8"/>
        <v>970713.55280623445</v>
      </c>
      <c r="D190" s="5">
        <f>IF(A190&lt;=Loan_Calculator!$C$11,Loan_Calculator!$C$12,0)</f>
        <v>21695.580834138349</v>
      </c>
      <c r="E190" s="5">
        <f>IF(A190&lt;=Loan_Calculator!$C$11,-PPMT(Loan_Calculator!$C$10,A190,Loan_Calculator!$C$11,Loan_Calculator!$B$4),0)</f>
        <v>14819.693168427515</v>
      </c>
      <c r="F190" s="5">
        <f>IF(A190&lt;=Loan_Calculator!$C$11,-IPMT(Loan_Calculator!$C$10,A190,Loan_Calculator!$C$11,Loan_Calculator!$B$4),0)</f>
        <v>6875.8876657108322</v>
      </c>
      <c r="G190" s="5">
        <f t="shared" si="6"/>
        <v>955893.85963780689</v>
      </c>
    </row>
    <row r="191" spans="1:7" x14ac:dyDescent="0.25">
      <c r="A191">
        <v>188</v>
      </c>
      <c r="B191" s="4">
        <f t="shared" si="7"/>
        <v>51926</v>
      </c>
      <c r="C191" s="5">
        <f t="shared" si="8"/>
        <v>955893.85963780689</v>
      </c>
      <c r="D191" s="5">
        <f>IF(A191&lt;=Loan_Calculator!$C$11,Loan_Calculator!$C$12,0)</f>
        <v>21695.580834138349</v>
      </c>
      <c r="E191" s="5">
        <f>IF(A191&lt;=Loan_Calculator!$C$11,-PPMT(Loan_Calculator!$C$10,A191,Loan_Calculator!$C$11,Loan_Calculator!$B$4),0)</f>
        <v>14924.66599503721</v>
      </c>
      <c r="F191" s="5">
        <f>IF(A191&lt;=Loan_Calculator!$C$11,-IPMT(Loan_Calculator!$C$10,A191,Loan_Calculator!$C$11,Loan_Calculator!$B$4),0)</f>
        <v>6770.9148391011367</v>
      </c>
      <c r="G191" s="5">
        <f t="shared" si="6"/>
        <v>940969.19364276971</v>
      </c>
    </row>
    <row r="192" spans="1:7" x14ac:dyDescent="0.25">
      <c r="A192">
        <v>189</v>
      </c>
      <c r="B192" s="4">
        <f t="shared" si="7"/>
        <v>51957</v>
      </c>
      <c r="C192" s="5">
        <f t="shared" si="8"/>
        <v>940969.19364276971</v>
      </c>
      <c r="D192" s="5">
        <f>IF(A192&lt;=Loan_Calculator!$C$11,Loan_Calculator!$C$12,0)</f>
        <v>21695.580834138349</v>
      </c>
      <c r="E192" s="5">
        <f>IF(A192&lt;=Loan_Calculator!$C$11,-PPMT(Loan_Calculator!$C$10,A192,Loan_Calculator!$C$11,Loan_Calculator!$B$4),0)</f>
        <v>15030.382379168728</v>
      </c>
      <c r="F192" s="5">
        <f>IF(A192&lt;=Loan_Calculator!$C$11,-IPMT(Loan_Calculator!$C$10,A192,Loan_Calculator!$C$11,Loan_Calculator!$B$4),0)</f>
        <v>6665.1984549696235</v>
      </c>
      <c r="G192" s="5">
        <f t="shared" si="6"/>
        <v>925938.81126360095</v>
      </c>
    </row>
    <row r="193" spans="1:7" x14ac:dyDescent="0.25">
      <c r="A193">
        <v>190</v>
      </c>
      <c r="B193" s="4">
        <f t="shared" si="7"/>
        <v>51987</v>
      </c>
      <c r="C193" s="5">
        <f t="shared" si="8"/>
        <v>925938.81126360095</v>
      </c>
      <c r="D193" s="5">
        <f>IF(A193&lt;=Loan_Calculator!$C$11,Loan_Calculator!$C$12,0)</f>
        <v>21695.580834138349</v>
      </c>
      <c r="E193" s="5">
        <f>IF(A193&lt;=Loan_Calculator!$C$11,-PPMT(Loan_Calculator!$C$10,A193,Loan_Calculator!$C$11,Loan_Calculator!$B$4),0)</f>
        <v>15136.847587687835</v>
      </c>
      <c r="F193" s="5">
        <f>IF(A193&lt;=Loan_Calculator!$C$11,-IPMT(Loan_Calculator!$C$10,A193,Loan_Calculator!$C$11,Loan_Calculator!$B$4),0)</f>
        <v>6558.7332464505116</v>
      </c>
      <c r="G193" s="5">
        <f t="shared" si="6"/>
        <v>910801.96367591317</v>
      </c>
    </row>
    <row r="194" spans="1:7" x14ac:dyDescent="0.25">
      <c r="A194">
        <v>191</v>
      </c>
      <c r="B194" s="4">
        <f t="shared" si="7"/>
        <v>52018</v>
      </c>
      <c r="C194" s="5">
        <f t="shared" si="8"/>
        <v>910801.96367591317</v>
      </c>
      <c r="D194" s="5">
        <f>IF(A194&lt;=Loan_Calculator!$C$11,Loan_Calculator!$C$12,0)</f>
        <v>21695.580834138349</v>
      </c>
      <c r="E194" s="5">
        <f>IF(A194&lt;=Loan_Calculator!$C$11,-PPMT(Loan_Calculator!$C$10,A194,Loan_Calculator!$C$11,Loan_Calculator!$B$4),0)</f>
        <v>15244.06692476729</v>
      </c>
      <c r="F194" s="5">
        <f>IF(A194&lt;=Loan_Calculator!$C$11,-IPMT(Loan_Calculator!$C$10,A194,Loan_Calculator!$C$11,Loan_Calculator!$B$4),0)</f>
        <v>6451.5139093710568</v>
      </c>
      <c r="G194" s="5">
        <f t="shared" si="6"/>
        <v>895557.89675114583</v>
      </c>
    </row>
    <row r="195" spans="1:7" x14ac:dyDescent="0.25">
      <c r="A195">
        <v>192</v>
      </c>
      <c r="B195" s="4">
        <f t="shared" si="7"/>
        <v>52048</v>
      </c>
      <c r="C195" s="5">
        <f t="shared" si="8"/>
        <v>895557.89675114583</v>
      </c>
      <c r="D195" s="5">
        <f>IF(A195&lt;=Loan_Calculator!$C$11,Loan_Calculator!$C$12,0)</f>
        <v>21695.580834138349</v>
      </c>
      <c r="E195" s="5">
        <f>IF(A195&lt;=Loan_Calculator!$C$11,-PPMT(Loan_Calculator!$C$10,A195,Loan_Calculator!$C$11,Loan_Calculator!$B$4),0)</f>
        <v>15352.045732151062</v>
      </c>
      <c r="F195" s="5">
        <f>IF(A195&lt;=Loan_Calculator!$C$11,-IPMT(Loan_Calculator!$C$10,A195,Loan_Calculator!$C$11,Loan_Calculator!$B$4),0)</f>
        <v>6343.5351019872887</v>
      </c>
      <c r="G195" s="5">
        <f t="shared" si="6"/>
        <v>880205.85101899481</v>
      </c>
    </row>
    <row r="196" spans="1:7" x14ac:dyDescent="0.25">
      <c r="A196">
        <v>193</v>
      </c>
      <c r="B196" s="4">
        <f t="shared" si="7"/>
        <v>52079</v>
      </c>
      <c r="C196" s="5">
        <f t="shared" si="8"/>
        <v>880205.85101899481</v>
      </c>
      <c r="D196" s="5">
        <f>IF(A196&lt;=Loan_Calculator!$C$11,Loan_Calculator!$C$12,0)</f>
        <v>21695.580834138349</v>
      </c>
      <c r="E196" s="5">
        <f>IF(A196&lt;=Loan_Calculator!$C$11,-PPMT(Loan_Calculator!$C$10,A196,Loan_Calculator!$C$11,Loan_Calculator!$B$4),0)</f>
        <v>15460.789389420463</v>
      </c>
      <c r="F196" s="5">
        <f>IF(A196&lt;=Loan_Calculator!$C$11,-IPMT(Loan_Calculator!$C$10,A196,Loan_Calculator!$C$11,Loan_Calculator!$B$4),0)</f>
        <v>6234.7914447178846</v>
      </c>
      <c r="G196" s="5">
        <f t="shared" ref="G196:G243" si="9">MAX(0,C196-E196)</f>
        <v>864745.0616295744</v>
      </c>
    </row>
    <row r="197" spans="1:7" x14ac:dyDescent="0.25">
      <c r="A197">
        <v>194</v>
      </c>
      <c r="B197" s="4">
        <f t="shared" ref="B197:B243" si="10">EDATE(B196,1)</f>
        <v>52110</v>
      </c>
      <c r="C197" s="5">
        <f t="shared" ref="C197:C243" si="11">G196</f>
        <v>864745.0616295744</v>
      </c>
      <c r="D197" s="5">
        <f>IF(A197&lt;=Loan_Calculator!$C$11,Loan_Calculator!$C$12,0)</f>
        <v>21695.580834138349</v>
      </c>
      <c r="E197" s="5">
        <f>IF(A197&lt;=Loan_Calculator!$C$11,-PPMT(Loan_Calculator!$C$10,A197,Loan_Calculator!$C$11,Loan_Calculator!$B$4),0)</f>
        <v>15570.30331426219</v>
      </c>
      <c r="F197" s="5">
        <f>IF(A197&lt;=Loan_Calculator!$C$11,-IPMT(Loan_Calculator!$C$10,A197,Loan_Calculator!$C$11,Loan_Calculator!$B$4),0)</f>
        <v>6125.2775198761556</v>
      </c>
      <c r="G197" s="5">
        <f t="shared" si="9"/>
        <v>849174.75831531221</v>
      </c>
    </row>
    <row r="198" spans="1:7" x14ac:dyDescent="0.25">
      <c r="A198">
        <v>195</v>
      </c>
      <c r="B198" s="4">
        <f t="shared" si="10"/>
        <v>52140</v>
      </c>
      <c r="C198" s="5">
        <f t="shared" si="11"/>
        <v>849174.75831531221</v>
      </c>
      <c r="D198" s="5">
        <f>IF(A198&lt;=Loan_Calculator!$C$11,Loan_Calculator!$C$12,0)</f>
        <v>21695.580834138349</v>
      </c>
      <c r="E198" s="5">
        <f>IF(A198&lt;=Loan_Calculator!$C$11,-PPMT(Loan_Calculator!$C$10,A198,Loan_Calculator!$C$11,Loan_Calculator!$B$4),0)</f>
        <v>15680.592962738216</v>
      </c>
      <c r="F198" s="5">
        <f>IF(A198&lt;=Loan_Calculator!$C$11,-IPMT(Loan_Calculator!$C$10,A198,Loan_Calculator!$C$11,Loan_Calculator!$B$4),0)</f>
        <v>6014.9878714001325</v>
      </c>
      <c r="G198" s="5">
        <f t="shared" si="9"/>
        <v>833494.16535257397</v>
      </c>
    </row>
    <row r="199" spans="1:7" x14ac:dyDescent="0.25">
      <c r="A199">
        <v>196</v>
      </c>
      <c r="B199" s="4">
        <f t="shared" si="10"/>
        <v>52171</v>
      </c>
      <c r="C199" s="5">
        <f t="shared" si="11"/>
        <v>833494.16535257397</v>
      </c>
      <c r="D199" s="5">
        <f>IF(A199&lt;=Loan_Calculator!$C$11,Loan_Calculator!$C$12,0)</f>
        <v>21695.580834138349</v>
      </c>
      <c r="E199" s="5">
        <f>IF(A199&lt;=Loan_Calculator!$C$11,-PPMT(Loan_Calculator!$C$10,A199,Loan_Calculator!$C$11,Loan_Calculator!$B$4),0)</f>
        <v>15791.663829557612</v>
      </c>
      <c r="F199" s="5">
        <f>IF(A199&lt;=Loan_Calculator!$C$11,-IPMT(Loan_Calculator!$C$10,A199,Loan_Calculator!$C$11,Loan_Calculator!$B$4),0)</f>
        <v>5903.9170045807368</v>
      </c>
      <c r="G199" s="5">
        <f t="shared" si="9"/>
        <v>817702.50152301637</v>
      </c>
    </row>
    <row r="200" spans="1:7" x14ac:dyDescent="0.25">
      <c r="A200">
        <v>197</v>
      </c>
      <c r="B200" s="4">
        <f t="shared" si="10"/>
        <v>52201</v>
      </c>
      <c r="C200" s="5">
        <f t="shared" si="11"/>
        <v>817702.50152301637</v>
      </c>
      <c r="D200" s="5">
        <f>IF(A200&lt;=Loan_Calculator!$C$11,Loan_Calculator!$C$12,0)</f>
        <v>21695.580834138349</v>
      </c>
      <c r="E200" s="5">
        <f>IF(A200&lt;=Loan_Calculator!$C$11,-PPMT(Loan_Calculator!$C$10,A200,Loan_Calculator!$C$11,Loan_Calculator!$B$4),0)</f>
        <v>15903.521448350311</v>
      </c>
      <c r="F200" s="5">
        <f>IF(A200&lt;=Loan_Calculator!$C$11,-IPMT(Loan_Calculator!$C$10,A200,Loan_Calculator!$C$11,Loan_Calculator!$B$4),0)</f>
        <v>5792.0593857880367</v>
      </c>
      <c r="G200" s="5">
        <f t="shared" si="9"/>
        <v>801798.98007466609</v>
      </c>
    </row>
    <row r="201" spans="1:7" x14ac:dyDescent="0.25">
      <c r="A201">
        <v>198</v>
      </c>
      <c r="B201" s="4">
        <f t="shared" si="10"/>
        <v>52232</v>
      </c>
      <c r="C201" s="5">
        <f t="shared" si="11"/>
        <v>801798.98007466609</v>
      </c>
      <c r="D201" s="5">
        <f>IF(A201&lt;=Loan_Calculator!$C$11,Loan_Calculator!$C$12,0)</f>
        <v>21695.580834138349</v>
      </c>
      <c r="E201" s="5">
        <f>IF(A201&lt;=Loan_Calculator!$C$11,-PPMT(Loan_Calculator!$C$10,A201,Loan_Calculator!$C$11,Loan_Calculator!$B$4),0)</f>
        <v>16016.171391942791</v>
      </c>
      <c r="F201" s="5">
        <f>IF(A201&lt;=Loan_Calculator!$C$11,-IPMT(Loan_Calculator!$C$10,A201,Loan_Calculator!$C$11,Loan_Calculator!$B$4),0)</f>
        <v>5679.409442195556</v>
      </c>
      <c r="G201" s="5">
        <f t="shared" si="9"/>
        <v>785782.80868272332</v>
      </c>
    </row>
    <row r="202" spans="1:7" x14ac:dyDescent="0.25">
      <c r="A202">
        <v>199</v>
      </c>
      <c r="B202" s="4">
        <f t="shared" si="10"/>
        <v>52263</v>
      </c>
      <c r="C202" s="5">
        <f t="shared" si="11"/>
        <v>785782.80868272332</v>
      </c>
      <c r="D202" s="5">
        <f>IF(A202&lt;=Loan_Calculator!$C$11,Loan_Calculator!$C$12,0)</f>
        <v>21695.580834138349</v>
      </c>
      <c r="E202" s="5">
        <f>IF(A202&lt;=Loan_Calculator!$C$11,-PPMT(Loan_Calculator!$C$10,A202,Loan_Calculator!$C$11,Loan_Calculator!$B$4),0)</f>
        <v>16129.61927263572</v>
      </c>
      <c r="F202" s="5">
        <f>IF(A202&lt;=Loan_Calculator!$C$11,-IPMT(Loan_Calculator!$C$10,A202,Loan_Calculator!$C$11,Loan_Calculator!$B$4),0)</f>
        <v>5565.961561502626</v>
      </c>
      <c r="G202" s="5">
        <f t="shared" si="9"/>
        <v>769653.18941008765</v>
      </c>
    </row>
    <row r="203" spans="1:7" x14ac:dyDescent="0.25">
      <c r="A203">
        <v>200</v>
      </c>
      <c r="B203" s="4">
        <f t="shared" si="10"/>
        <v>52291</v>
      </c>
      <c r="C203" s="5">
        <f t="shared" si="11"/>
        <v>769653.18941008765</v>
      </c>
      <c r="D203" s="5">
        <f>IF(A203&lt;=Loan_Calculator!$C$11,Loan_Calculator!$C$12,0)</f>
        <v>21695.580834138349</v>
      </c>
      <c r="E203" s="5">
        <f>IF(A203&lt;=Loan_Calculator!$C$11,-PPMT(Loan_Calculator!$C$10,A203,Loan_Calculator!$C$11,Loan_Calculator!$B$4),0)</f>
        <v>16243.870742483557</v>
      </c>
      <c r="F203" s="5">
        <f>IF(A203&lt;=Loan_Calculator!$C$11,-IPMT(Loan_Calculator!$C$10,A203,Loan_Calculator!$C$11,Loan_Calculator!$B$4),0)</f>
        <v>5451.7100916547906</v>
      </c>
      <c r="G203" s="5">
        <f t="shared" si="9"/>
        <v>753409.31866760412</v>
      </c>
    </row>
    <row r="204" spans="1:7" x14ac:dyDescent="0.25">
      <c r="A204">
        <v>201</v>
      </c>
      <c r="B204" s="4">
        <f t="shared" si="10"/>
        <v>52322</v>
      </c>
      <c r="C204" s="5">
        <f t="shared" si="11"/>
        <v>753409.31866760412</v>
      </c>
      <c r="D204" s="5">
        <f>IF(A204&lt;=Loan_Calculator!$C$11,Loan_Calculator!$C$12,0)</f>
        <v>21695.580834138349</v>
      </c>
      <c r="E204" s="5">
        <f>IF(A204&lt;=Loan_Calculator!$C$11,-PPMT(Loan_Calculator!$C$10,A204,Loan_Calculator!$C$11,Loan_Calculator!$B$4),0)</f>
        <v>16358.931493576149</v>
      </c>
      <c r="F204" s="5">
        <f>IF(A204&lt;=Loan_Calculator!$C$11,-IPMT(Loan_Calculator!$C$10,A204,Loan_Calculator!$C$11,Loan_Calculator!$B$4),0)</f>
        <v>5336.6493405621995</v>
      </c>
      <c r="G204" s="5">
        <f t="shared" si="9"/>
        <v>737050.38717402797</v>
      </c>
    </row>
    <row r="205" spans="1:7" x14ac:dyDescent="0.25">
      <c r="A205">
        <v>202</v>
      </c>
      <c r="B205" s="4">
        <f t="shared" si="10"/>
        <v>52352</v>
      </c>
      <c r="C205" s="5">
        <f t="shared" si="11"/>
        <v>737050.38717402797</v>
      </c>
      <c r="D205" s="5">
        <f>IF(A205&lt;=Loan_Calculator!$C$11,Loan_Calculator!$C$12,0)</f>
        <v>21695.580834138349</v>
      </c>
      <c r="E205" s="5">
        <f>IF(A205&lt;=Loan_Calculator!$C$11,-PPMT(Loan_Calculator!$C$10,A205,Loan_Calculator!$C$11,Loan_Calculator!$B$4),0)</f>
        <v>16474.807258322315</v>
      </c>
      <c r="F205" s="5">
        <f>IF(A205&lt;=Loan_Calculator!$C$11,-IPMT(Loan_Calculator!$C$10,A205,Loan_Calculator!$C$11,Loan_Calculator!$B$4),0)</f>
        <v>5220.7735758160343</v>
      </c>
      <c r="G205" s="5">
        <f t="shared" si="9"/>
        <v>720575.5799157056</v>
      </c>
    </row>
    <row r="206" spans="1:7" x14ac:dyDescent="0.25">
      <c r="A206">
        <v>203</v>
      </c>
      <c r="B206" s="4">
        <f t="shared" si="10"/>
        <v>52383</v>
      </c>
      <c r="C206" s="5">
        <f t="shared" si="11"/>
        <v>720575.5799157056</v>
      </c>
      <c r="D206" s="5">
        <f>IF(A206&lt;=Loan_Calculator!$C$11,Loan_Calculator!$C$12,0)</f>
        <v>21695.580834138349</v>
      </c>
      <c r="E206" s="5">
        <f>IF(A206&lt;=Loan_Calculator!$C$11,-PPMT(Loan_Calculator!$C$10,A206,Loan_Calculator!$C$11,Loan_Calculator!$B$4),0)</f>
        <v>16591.50380973543</v>
      </c>
      <c r="F206" s="5">
        <f>IF(A206&lt;=Loan_Calculator!$C$11,-IPMT(Loan_Calculator!$C$10,A206,Loan_Calculator!$C$11,Loan_Calculator!$B$4),0)</f>
        <v>5104.0770244029191</v>
      </c>
      <c r="G206" s="5">
        <f t="shared" si="9"/>
        <v>703984.07610597019</v>
      </c>
    </row>
    <row r="207" spans="1:7" x14ac:dyDescent="0.25">
      <c r="A207">
        <v>204</v>
      </c>
      <c r="B207" s="4">
        <f t="shared" si="10"/>
        <v>52413</v>
      </c>
      <c r="C207" s="5">
        <f t="shared" si="11"/>
        <v>703984.07610597019</v>
      </c>
      <c r="D207" s="5">
        <f>IF(A207&lt;=Loan_Calculator!$C$11,Loan_Calculator!$C$12,0)</f>
        <v>21695.580834138349</v>
      </c>
      <c r="E207" s="5">
        <f>IF(A207&lt;=Loan_Calculator!$C$11,-PPMT(Loan_Calculator!$C$10,A207,Loan_Calculator!$C$11,Loan_Calculator!$B$4),0)</f>
        <v>16709.026961721058</v>
      </c>
      <c r="F207" s="5">
        <f>IF(A207&lt;=Loan_Calculator!$C$11,-IPMT(Loan_Calculator!$C$10,A207,Loan_Calculator!$C$11,Loan_Calculator!$B$4),0)</f>
        <v>4986.553872417292</v>
      </c>
      <c r="G207" s="5">
        <f t="shared" si="9"/>
        <v>687275.04914424918</v>
      </c>
    </row>
    <row r="208" spans="1:7" x14ac:dyDescent="0.25">
      <c r="A208">
        <v>205</v>
      </c>
      <c r="B208" s="4">
        <f t="shared" si="10"/>
        <v>52444</v>
      </c>
      <c r="C208" s="5">
        <f t="shared" si="11"/>
        <v>687275.04914424918</v>
      </c>
      <c r="D208" s="5">
        <f>IF(A208&lt;=Loan_Calculator!$C$11,Loan_Calculator!$C$12,0)</f>
        <v>21695.580834138349</v>
      </c>
      <c r="E208" s="5">
        <f>IF(A208&lt;=Loan_Calculator!$C$11,-PPMT(Loan_Calculator!$C$10,A208,Loan_Calculator!$C$11,Loan_Calculator!$B$4),0)</f>
        <v>16827.382569366582</v>
      </c>
      <c r="F208" s="5">
        <f>IF(A208&lt;=Loan_Calculator!$C$11,-IPMT(Loan_Calculator!$C$10,A208,Loan_Calculator!$C$11,Loan_Calculator!$B$4),0)</f>
        <v>4868.1982647717678</v>
      </c>
      <c r="G208" s="5">
        <f t="shared" si="9"/>
        <v>670447.66657488258</v>
      </c>
    </row>
    <row r="209" spans="1:7" x14ac:dyDescent="0.25">
      <c r="A209">
        <v>206</v>
      </c>
      <c r="B209" s="4">
        <f t="shared" si="10"/>
        <v>52475</v>
      </c>
      <c r="C209" s="5">
        <f t="shared" si="11"/>
        <v>670447.66657488258</v>
      </c>
      <c r="D209" s="5">
        <f>IF(A209&lt;=Loan_Calculator!$C$11,Loan_Calculator!$C$12,0)</f>
        <v>21695.580834138349</v>
      </c>
      <c r="E209" s="5">
        <f>IF(A209&lt;=Loan_Calculator!$C$11,-PPMT(Loan_Calculator!$C$10,A209,Loan_Calculator!$C$11,Loan_Calculator!$B$4),0)</f>
        <v>16946.576529232923</v>
      </c>
      <c r="F209" s="5">
        <f>IF(A209&lt;=Loan_Calculator!$C$11,-IPMT(Loan_Calculator!$C$10,A209,Loan_Calculator!$C$11,Loan_Calculator!$B$4),0)</f>
        <v>4749.004304905422</v>
      </c>
      <c r="G209" s="5">
        <f t="shared" si="9"/>
        <v>653501.09004564967</v>
      </c>
    </row>
    <row r="210" spans="1:7" x14ac:dyDescent="0.25">
      <c r="A210">
        <v>207</v>
      </c>
      <c r="B210" s="4">
        <f t="shared" si="10"/>
        <v>52505</v>
      </c>
      <c r="C210" s="5">
        <f t="shared" si="11"/>
        <v>653501.09004564967</v>
      </c>
      <c r="D210" s="5">
        <f>IF(A210&lt;=Loan_Calculator!$C$11,Loan_Calculator!$C$12,0)</f>
        <v>21695.580834138349</v>
      </c>
      <c r="E210" s="5">
        <f>IF(A210&lt;=Loan_Calculator!$C$11,-PPMT(Loan_Calculator!$C$10,A210,Loan_Calculator!$C$11,Loan_Calculator!$B$4),0)</f>
        <v>17066.614779648327</v>
      </c>
      <c r="F210" s="5">
        <f>IF(A210&lt;=Loan_Calculator!$C$11,-IPMT(Loan_Calculator!$C$10,A210,Loan_Calculator!$C$11,Loan_Calculator!$B$4),0)</f>
        <v>4628.9660544900225</v>
      </c>
      <c r="G210" s="5">
        <f t="shared" si="9"/>
        <v>636434.4752660013</v>
      </c>
    </row>
    <row r="211" spans="1:7" x14ac:dyDescent="0.25">
      <c r="A211">
        <v>208</v>
      </c>
      <c r="B211" s="4">
        <f t="shared" si="10"/>
        <v>52536</v>
      </c>
      <c r="C211" s="5">
        <f t="shared" si="11"/>
        <v>636434.4752660013</v>
      </c>
      <c r="D211" s="5">
        <f>IF(A211&lt;=Loan_Calculator!$C$11,Loan_Calculator!$C$12,0)</f>
        <v>21695.580834138349</v>
      </c>
      <c r="E211" s="5">
        <f>IF(A211&lt;=Loan_Calculator!$C$11,-PPMT(Loan_Calculator!$C$10,A211,Loan_Calculator!$C$11,Loan_Calculator!$B$4),0)</f>
        <v>17187.503301004166</v>
      </c>
      <c r="F211" s="5">
        <f>IF(A211&lt;=Loan_Calculator!$C$11,-IPMT(Loan_Calculator!$C$10,A211,Loan_Calculator!$C$11,Loan_Calculator!$B$4),0)</f>
        <v>4508.0775331341792</v>
      </c>
      <c r="G211" s="5">
        <f t="shared" si="9"/>
        <v>619246.97196499712</v>
      </c>
    </row>
    <row r="212" spans="1:7" x14ac:dyDescent="0.25">
      <c r="A212">
        <v>209</v>
      </c>
      <c r="B212" s="4">
        <f t="shared" si="10"/>
        <v>52566</v>
      </c>
      <c r="C212" s="5">
        <f t="shared" si="11"/>
        <v>619246.97196499712</v>
      </c>
      <c r="D212" s="5">
        <f>IF(A212&lt;=Loan_Calculator!$C$11,Loan_Calculator!$C$12,0)</f>
        <v>21695.580834138349</v>
      </c>
      <c r="E212" s="5">
        <f>IF(A212&lt;=Loan_Calculator!$C$11,-PPMT(Loan_Calculator!$C$10,A212,Loan_Calculator!$C$11,Loan_Calculator!$B$4),0)</f>
        <v>17309.248116052946</v>
      </c>
      <c r="F212" s="5">
        <f>IF(A212&lt;=Loan_Calculator!$C$11,-IPMT(Loan_Calculator!$C$10,A212,Loan_Calculator!$C$11,Loan_Calculator!$B$4),0)</f>
        <v>4386.3327180854003</v>
      </c>
      <c r="G212" s="5">
        <f t="shared" si="9"/>
        <v>601937.72384894418</v>
      </c>
    </row>
    <row r="213" spans="1:7" x14ac:dyDescent="0.25">
      <c r="A213">
        <v>210</v>
      </c>
      <c r="B213" s="4">
        <f t="shared" si="10"/>
        <v>52597</v>
      </c>
      <c r="C213" s="5">
        <f t="shared" si="11"/>
        <v>601937.72384894418</v>
      </c>
      <c r="D213" s="5">
        <f>IF(A213&lt;=Loan_Calculator!$C$11,Loan_Calculator!$C$12,0)</f>
        <v>21695.580834138349</v>
      </c>
      <c r="E213" s="5">
        <f>IF(A213&lt;=Loan_Calculator!$C$11,-PPMT(Loan_Calculator!$C$10,A213,Loan_Calculator!$C$11,Loan_Calculator!$B$4),0)</f>
        <v>17431.855290208325</v>
      </c>
      <c r="F213" s="5">
        <f>IF(A213&lt;=Loan_Calculator!$C$11,-IPMT(Loan_Calculator!$C$10,A213,Loan_Calculator!$C$11,Loan_Calculator!$B$4),0)</f>
        <v>4263.7255439300261</v>
      </c>
      <c r="G213" s="5">
        <f t="shared" si="9"/>
        <v>584505.86855873582</v>
      </c>
    </row>
    <row r="214" spans="1:7" x14ac:dyDescent="0.25">
      <c r="A214">
        <v>211</v>
      </c>
      <c r="B214" s="4">
        <f t="shared" si="10"/>
        <v>52628</v>
      </c>
      <c r="C214" s="5">
        <f t="shared" si="11"/>
        <v>584505.86855873582</v>
      </c>
      <c r="D214" s="5">
        <f>IF(A214&lt;=Loan_Calculator!$C$11,Loan_Calculator!$C$12,0)</f>
        <v>21695.580834138349</v>
      </c>
      <c r="E214" s="5">
        <f>IF(A214&lt;=Loan_Calculator!$C$11,-PPMT(Loan_Calculator!$C$10,A214,Loan_Calculator!$C$11,Loan_Calculator!$B$4),0)</f>
        <v>17555.330931847297</v>
      </c>
      <c r="F214" s="5">
        <f>IF(A214&lt;=Loan_Calculator!$C$11,-IPMT(Loan_Calculator!$C$10,A214,Loan_Calculator!$C$11,Loan_Calculator!$B$4),0)</f>
        <v>4140.2499022910488</v>
      </c>
      <c r="G214" s="5">
        <f t="shared" si="9"/>
        <v>566950.53762688849</v>
      </c>
    </row>
    <row r="215" spans="1:7" x14ac:dyDescent="0.25">
      <c r="A215">
        <v>212</v>
      </c>
      <c r="B215" s="4">
        <f t="shared" si="10"/>
        <v>52657</v>
      </c>
      <c r="C215" s="5">
        <f t="shared" si="11"/>
        <v>566950.53762688849</v>
      </c>
      <c r="D215" s="5">
        <f>IF(A215&lt;=Loan_Calculator!$C$11,Loan_Calculator!$C$12,0)</f>
        <v>21695.580834138349</v>
      </c>
      <c r="E215" s="5">
        <f>IF(A215&lt;=Loan_Calculator!$C$11,-PPMT(Loan_Calculator!$C$10,A215,Loan_Calculator!$C$11,Loan_Calculator!$B$4),0)</f>
        <v>17679.681192614549</v>
      </c>
      <c r="F215" s="5">
        <f>IF(A215&lt;=Loan_Calculator!$C$11,-IPMT(Loan_Calculator!$C$10,A215,Loan_Calculator!$C$11,Loan_Calculator!$B$4),0)</f>
        <v>4015.899641523798</v>
      </c>
      <c r="G215" s="5">
        <f t="shared" si="9"/>
        <v>549270.85643427388</v>
      </c>
    </row>
    <row r="216" spans="1:7" x14ac:dyDescent="0.25">
      <c r="A216">
        <v>213</v>
      </c>
      <c r="B216" s="4">
        <f t="shared" si="10"/>
        <v>52688</v>
      </c>
      <c r="C216" s="5">
        <f t="shared" si="11"/>
        <v>549270.85643427388</v>
      </c>
      <c r="D216" s="5">
        <f>IF(A216&lt;=Loan_Calculator!$C$11,Loan_Calculator!$C$12,0)</f>
        <v>21695.580834138349</v>
      </c>
      <c r="E216" s="5">
        <f>IF(A216&lt;=Loan_Calculator!$C$11,-PPMT(Loan_Calculator!$C$10,A216,Loan_Calculator!$C$11,Loan_Calculator!$B$4),0)</f>
        <v>17804.912267728905</v>
      </c>
      <c r="F216" s="5">
        <f>IF(A216&lt;=Loan_Calculator!$C$11,-IPMT(Loan_Calculator!$C$10,A216,Loan_Calculator!$C$11,Loan_Calculator!$B$4),0)</f>
        <v>3890.6685664094443</v>
      </c>
      <c r="G216" s="5">
        <f t="shared" si="9"/>
        <v>531465.94416654494</v>
      </c>
    </row>
    <row r="217" spans="1:7" x14ac:dyDescent="0.25">
      <c r="A217">
        <v>214</v>
      </c>
      <c r="B217" s="4">
        <f t="shared" si="10"/>
        <v>52718</v>
      </c>
      <c r="C217" s="5">
        <f t="shared" si="11"/>
        <v>531465.94416654494</v>
      </c>
      <c r="D217" s="5">
        <f>IF(A217&lt;=Loan_Calculator!$C$11,Loan_Calculator!$C$12,0)</f>
        <v>21695.580834138349</v>
      </c>
      <c r="E217" s="5">
        <f>IF(A217&lt;=Loan_Calculator!$C$11,-PPMT(Loan_Calculator!$C$10,A217,Loan_Calculator!$C$11,Loan_Calculator!$B$4),0)</f>
        <v>17931.030396291986</v>
      </c>
      <c r="F217" s="5">
        <f>IF(A217&lt;=Loan_Calculator!$C$11,-IPMT(Loan_Calculator!$C$10,A217,Loan_Calculator!$C$11,Loan_Calculator!$B$4),0)</f>
        <v>3764.5504378463652</v>
      </c>
      <c r="G217" s="5">
        <f t="shared" si="9"/>
        <v>513534.91377025296</v>
      </c>
    </row>
    <row r="218" spans="1:7" x14ac:dyDescent="0.25">
      <c r="A218">
        <v>215</v>
      </c>
      <c r="B218" s="4">
        <f t="shared" si="10"/>
        <v>52749</v>
      </c>
      <c r="C218" s="5">
        <f t="shared" si="11"/>
        <v>513534.91377025296</v>
      </c>
      <c r="D218" s="5">
        <f>IF(A218&lt;=Loan_Calculator!$C$11,Loan_Calculator!$C$12,0)</f>
        <v>21695.580834138349</v>
      </c>
      <c r="E218" s="5">
        <f>IF(A218&lt;=Loan_Calculator!$C$11,-PPMT(Loan_Calculator!$C$10,A218,Loan_Calculator!$C$11,Loan_Calculator!$B$4),0)</f>
        <v>18058.041861599053</v>
      </c>
      <c r="F218" s="5">
        <f>IF(A218&lt;=Loan_Calculator!$C$11,-IPMT(Loan_Calculator!$C$10,A218,Loan_Calculator!$C$11,Loan_Calculator!$B$4),0)</f>
        <v>3637.538972539297</v>
      </c>
      <c r="G218" s="5">
        <f t="shared" si="9"/>
        <v>495476.87190865388</v>
      </c>
    </row>
    <row r="219" spans="1:7" x14ac:dyDescent="0.25">
      <c r="A219">
        <v>216</v>
      </c>
      <c r="B219" s="4">
        <f t="shared" si="10"/>
        <v>52779</v>
      </c>
      <c r="C219" s="5">
        <f t="shared" si="11"/>
        <v>495476.87190865388</v>
      </c>
      <c r="D219" s="5">
        <f>IF(A219&lt;=Loan_Calculator!$C$11,Loan_Calculator!$C$12,0)</f>
        <v>21695.580834138349</v>
      </c>
      <c r="E219" s="5">
        <f>IF(A219&lt;=Loan_Calculator!$C$11,-PPMT(Loan_Calculator!$C$10,A219,Loan_Calculator!$C$11,Loan_Calculator!$B$4),0)</f>
        <v>18185.952991452046</v>
      </c>
      <c r="F219" s="5">
        <f>IF(A219&lt;=Loan_Calculator!$C$11,-IPMT(Loan_Calculator!$C$10,A219,Loan_Calculator!$C$11,Loan_Calculator!$B$4),0)</f>
        <v>3509.6278426863037</v>
      </c>
      <c r="G219" s="5">
        <f t="shared" si="9"/>
        <v>477290.91891720181</v>
      </c>
    </row>
    <row r="220" spans="1:7" x14ac:dyDescent="0.25">
      <c r="A220">
        <v>217</v>
      </c>
      <c r="B220" s="4">
        <f t="shared" si="10"/>
        <v>52810</v>
      </c>
      <c r="C220" s="5">
        <f t="shared" si="11"/>
        <v>477290.91891720181</v>
      </c>
      <c r="D220" s="5">
        <f>IF(A220&lt;=Loan_Calculator!$C$11,Loan_Calculator!$C$12,0)</f>
        <v>21695.580834138349</v>
      </c>
      <c r="E220" s="5">
        <f>IF(A220&lt;=Loan_Calculator!$C$11,-PPMT(Loan_Calculator!$C$10,A220,Loan_Calculator!$C$11,Loan_Calculator!$B$4),0)</f>
        <v>18314.770158474832</v>
      </c>
      <c r="F220" s="5">
        <f>IF(A220&lt;=Loan_Calculator!$C$11,-IPMT(Loan_Calculator!$C$10,A220,Loan_Calculator!$C$11,Loan_Calculator!$B$4),0)</f>
        <v>3380.8106756635189</v>
      </c>
      <c r="G220" s="5">
        <f t="shared" si="9"/>
        <v>458976.14875872695</v>
      </c>
    </row>
    <row r="221" spans="1:7" x14ac:dyDescent="0.25">
      <c r="A221">
        <v>218</v>
      </c>
      <c r="B221" s="4">
        <f t="shared" si="10"/>
        <v>52841</v>
      </c>
      <c r="C221" s="5">
        <f t="shared" si="11"/>
        <v>458976.14875872695</v>
      </c>
      <c r="D221" s="5">
        <f>IF(A221&lt;=Loan_Calculator!$C$11,Loan_Calculator!$C$12,0)</f>
        <v>21695.580834138349</v>
      </c>
      <c r="E221" s="5">
        <f>IF(A221&lt;=Loan_Calculator!$C$11,-PPMT(Loan_Calculator!$C$10,A221,Loan_Calculator!$C$11,Loan_Calculator!$B$4),0)</f>
        <v>18444.499780430695</v>
      </c>
      <c r="F221" s="5">
        <f>IF(A221&lt;=Loan_Calculator!$C$11,-IPMT(Loan_Calculator!$C$10,A221,Loan_Calculator!$C$11,Loan_Calculator!$B$4),0)</f>
        <v>3251.0810537076554</v>
      </c>
      <c r="G221" s="5">
        <f t="shared" si="9"/>
        <v>440531.64897829626</v>
      </c>
    </row>
    <row r="222" spans="1:7" x14ac:dyDescent="0.25">
      <c r="A222">
        <v>219</v>
      </c>
      <c r="B222" s="4">
        <f t="shared" si="10"/>
        <v>52871</v>
      </c>
      <c r="C222" s="5">
        <f t="shared" si="11"/>
        <v>440531.64897829626</v>
      </c>
      <c r="D222" s="5">
        <f>IF(A222&lt;=Loan_Calculator!$C$11,Loan_Calculator!$C$12,0)</f>
        <v>21695.580834138349</v>
      </c>
      <c r="E222" s="5">
        <f>IF(A222&lt;=Loan_Calculator!$C$11,-PPMT(Loan_Calculator!$C$10,A222,Loan_Calculator!$C$11,Loan_Calculator!$B$4),0)</f>
        <v>18575.148320542081</v>
      </c>
      <c r="F222" s="5">
        <f>IF(A222&lt;=Loan_Calculator!$C$11,-IPMT(Loan_Calculator!$C$10,A222,Loan_Calculator!$C$11,Loan_Calculator!$B$4),0)</f>
        <v>3120.4325135962713</v>
      </c>
      <c r="G222" s="5">
        <f t="shared" si="9"/>
        <v>421956.50065775419</v>
      </c>
    </row>
    <row r="223" spans="1:7" x14ac:dyDescent="0.25">
      <c r="A223">
        <v>220</v>
      </c>
      <c r="B223" s="4">
        <f t="shared" si="10"/>
        <v>52902</v>
      </c>
      <c r="C223" s="5">
        <f t="shared" si="11"/>
        <v>421956.50065775419</v>
      </c>
      <c r="D223" s="5">
        <f>IF(A223&lt;=Loan_Calculator!$C$11,Loan_Calculator!$C$12,0)</f>
        <v>21695.580834138349</v>
      </c>
      <c r="E223" s="5">
        <f>IF(A223&lt;=Loan_Calculator!$C$11,-PPMT(Loan_Calculator!$C$10,A223,Loan_Calculator!$C$11,Loan_Calculator!$B$4),0)</f>
        <v>18706.722287812583</v>
      </c>
      <c r="F223" s="5">
        <f>IF(A223&lt;=Loan_Calculator!$C$11,-IPMT(Loan_Calculator!$C$10,A223,Loan_Calculator!$C$11,Loan_Calculator!$B$4),0)</f>
        <v>2988.8585463257641</v>
      </c>
      <c r="G223" s="5">
        <f t="shared" si="9"/>
        <v>403249.77836994163</v>
      </c>
    </row>
    <row r="224" spans="1:7" x14ac:dyDescent="0.25">
      <c r="A224">
        <v>221</v>
      </c>
      <c r="B224" s="4">
        <f t="shared" si="10"/>
        <v>52932</v>
      </c>
      <c r="C224" s="5">
        <f t="shared" si="11"/>
        <v>403249.77836994163</v>
      </c>
      <c r="D224" s="5">
        <f>IF(A224&lt;=Loan_Calculator!$C$11,Loan_Calculator!$C$12,0)</f>
        <v>21695.580834138349</v>
      </c>
      <c r="E224" s="5">
        <f>IF(A224&lt;=Loan_Calculator!$C$11,-PPMT(Loan_Calculator!$C$10,A224,Loan_Calculator!$C$11,Loan_Calculator!$B$4),0)</f>
        <v>18839.228237351253</v>
      </c>
      <c r="F224" s="5">
        <f>IF(A224&lt;=Loan_Calculator!$C$11,-IPMT(Loan_Calculator!$C$10,A224,Loan_Calculator!$C$11,Loan_Calculator!$B$4),0)</f>
        <v>2856.3525967870924</v>
      </c>
      <c r="G224" s="5">
        <f t="shared" si="9"/>
        <v>384410.5501325904</v>
      </c>
    </row>
    <row r="225" spans="1:7" x14ac:dyDescent="0.25">
      <c r="A225">
        <v>222</v>
      </c>
      <c r="B225" s="4">
        <f t="shared" si="10"/>
        <v>52963</v>
      </c>
      <c r="C225" s="5">
        <f t="shared" si="11"/>
        <v>384410.5501325904</v>
      </c>
      <c r="D225" s="5">
        <f>IF(A225&lt;=Loan_Calculator!$C$11,Loan_Calculator!$C$12,0)</f>
        <v>21695.580834138349</v>
      </c>
      <c r="E225" s="5">
        <f>IF(A225&lt;=Loan_Calculator!$C$11,-PPMT(Loan_Calculator!$C$10,A225,Loan_Calculator!$C$11,Loan_Calculator!$B$4),0)</f>
        <v>18972.672770699159</v>
      </c>
      <c r="F225" s="5">
        <f>IF(A225&lt;=Loan_Calculator!$C$11,-IPMT(Loan_Calculator!$C$10,A225,Loan_Calculator!$C$11,Loan_Calculator!$B$4),0)</f>
        <v>2722.9080634391876</v>
      </c>
      <c r="G225" s="5">
        <f t="shared" si="9"/>
        <v>365437.87736189127</v>
      </c>
    </row>
    <row r="226" spans="1:7" x14ac:dyDescent="0.25">
      <c r="A226">
        <v>223</v>
      </c>
      <c r="B226" s="4">
        <f t="shared" si="10"/>
        <v>52994</v>
      </c>
      <c r="C226" s="5">
        <f t="shared" si="11"/>
        <v>365437.87736189127</v>
      </c>
      <c r="D226" s="5">
        <f>IF(A226&lt;=Loan_Calculator!$C$11,Loan_Calculator!$C$12,0)</f>
        <v>21695.580834138349</v>
      </c>
      <c r="E226" s="5">
        <f>IF(A226&lt;=Loan_Calculator!$C$11,-PPMT(Loan_Calculator!$C$10,A226,Loan_Calculator!$C$11,Loan_Calculator!$B$4),0)</f>
        <v>19107.062536158282</v>
      </c>
      <c r="F226" s="5">
        <f>IF(A226&lt;=Loan_Calculator!$C$11,-IPMT(Loan_Calculator!$C$10,A226,Loan_Calculator!$C$11,Loan_Calculator!$B$4),0)</f>
        <v>2588.5182979800688</v>
      </c>
      <c r="G226" s="5">
        <f t="shared" si="9"/>
        <v>346330.81482573296</v>
      </c>
    </row>
    <row r="227" spans="1:7" x14ac:dyDescent="0.25">
      <c r="A227">
        <v>224</v>
      </c>
      <c r="B227" s="4">
        <f t="shared" si="10"/>
        <v>53022</v>
      </c>
      <c r="C227" s="5">
        <f t="shared" si="11"/>
        <v>346330.81482573296</v>
      </c>
      <c r="D227" s="5">
        <f>IF(A227&lt;=Loan_Calculator!$C$11,Loan_Calculator!$C$12,0)</f>
        <v>21695.580834138349</v>
      </c>
      <c r="E227" s="5">
        <f>IF(A227&lt;=Loan_Calculator!$C$11,-PPMT(Loan_Calculator!$C$10,A227,Loan_Calculator!$C$11,Loan_Calculator!$B$4),0)</f>
        <v>19242.404229122734</v>
      </c>
      <c r="F227" s="5">
        <f>IF(A227&lt;=Loan_Calculator!$C$11,-IPMT(Loan_Calculator!$C$10,A227,Loan_Calculator!$C$11,Loan_Calculator!$B$4),0)</f>
        <v>2453.1766050156139</v>
      </c>
      <c r="G227" s="5">
        <f t="shared" si="9"/>
        <v>327088.41059661022</v>
      </c>
    </row>
    <row r="228" spans="1:7" x14ac:dyDescent="0.25">
      <c r="A228">
        <v>225</v>
      </c>
      <c r="B228" s="4">
        <f t="shared" si="10"/>
        <v>53053</v>
      </c>
      <c r="C228" s="5">
        <f t="shared" si="11"/>
        <v>327088.41059661022</v>
      </c>
      <c r="D228" s="5">
        <f>IF(A228&lt;=Loan_Calculator!$C$11,Loan_Calculator!$C$12,0)</f>
        <v>21695.580834138349</v>
      </c>
      <c r="E228" s="5">
        <f>IF(A228&lt;=Loan_Calculator!$C$11,-PPMT(Loan_Calculator!$C$10,A228,Loan_Calculator!$C$11,Loan_Calculator!$B$4),0)</f>
        <v>19378.704592412352</v>
      </c>
      <c r="F228" s="5">
        <f>IF(A228&lt;=Loan_Calculator!$C$11,-IPMT(Loan_Calculator!$C$10,A228,Loan_Calculator!$C$11,Loan_Calculator!$B$4),0)</f>
        <v>2316.8762417259945</v>
      </c>
      <c r="G228" s="5">
        <f t="shared" si="9"/>
        <v>307709.70600419788</v>
      </c>
    </row>
    <row r="229" spans="1:7" x14ac:dyDescent="0.25">
      <c r="A229">
        <v>226</v>
      </c>
      <c r="B229" s="4">
        <f t="shared" si="10"/>
        <v>53083</v>
      </c>
      <c r="C229" s="5">
        <f t="shared" si="11"/>
        <v>307709.70600419788</v>
      </c>
      <c r="D229" s="5">
        <f>IF(A229&lt;=Loan_Calculator!$C$11,Loan_Calculator!$C$12,0)</f>
        <v>21695.580834138349</v>
      </c>
      <c r="E229" s="5">
        <f>IF(A229&lt;=Loan_Calculator!$C$11,-PPMT(Loan_Calculator!$C$10,A229,Loan_Calculator!$C$11,Loan_Calculator!$B$4),0)</f>
        <v>19515.970416608609</v>
      </c>
      <c r="F229" s="5">
        <f>IF(A229&lt;=Loan_Calculator!$C$11,-IPMT(Loan_Calculator!$C$10,A229,Loan_Calculator!$C$11,Loan_Calculator!$B$4),0)</f>
        <v>2179.6104175297405</v>
      </c>
      <c r="G229" s="5">
        <f t="shared" si="9"/>
        <v>288193.73558758927</v>
      </c>
    </row>
    <row r="230" spans="1:7" x14ac:dyDescent="0.25">
      <c r="A230">
        <v>227</v>
      </c>
      <c r="B230" s="4">
        <f t="shared" si="10"/>
        <v>53114</v>
      </c>
      <c r="C230" s="5">
        <f t="shared" si="11"/>
        <v>288193.73558758927</v>
      </c>
      <c r="D230" s="5">
        <f>IF(A230&lt;=Loan_Calculator!$C$11,Loan_Calculator!$C$12,0)</f>
        <v>21695.580834138349</v>
      </c>
      <c r="E230" s="5">
        <f>IF(A230&lt;=Loan_Calculator!$C$11,-PPMT(Loan_Calculator!$C$10,A230,Loan_Calculator!$C$11,Loan_Calculator!$B$4),0)</f>
        <v>19654.20854039292</v>
      </c>
      <c r="F230" s="5">
        <f>IF(A230&lt;=Loan_Calculator!$C$11,-IPMT(Loan_Calculator!$C$10,A230,Loan_Calculator!$C$11,Loan_Calculator!$B$4),0)</f>
        <v>2041.3722937454295</v>
      </c>
      <c r="G230" s="5">
        <f t="shared" si="9"/>
        <v>268539.52704719634</v>
      </c>
    </row>
    <row r="231" spans="1:7" x14ac:dyDescent="0.25">
      <c r="A231">
        <v>228</v>
      </c>
      <c r="B231" s="4">
        <f t="shared" si="10"/>
        <v>53144</v>
      </c>
      <c r="C231" s="5">
        <f t="shared" si="11"/>
        <v>268539.52704719634</v>
      </c>
      <c r="D231" s="5">
        <f>IF(A231&lt;=Loan_Calculator!$C$11,Loan_Calculator!$C$12,0)</f>
        <v>21695.580834138349</v>
      </c>
      <c r="E231" s="5">
        <f>IF(A231&lt;=Loan_Calculator!$C$11,-PPMT(Loan_Calculator!$C$10,A231,Loan_Calculator!$C$11,Loan_Calculator!$B$4),0)</f>
        <v>19793.425850887372</v>
      </c>
      <c r="F231" s="5">
        <f>IF(A231&lt;=Loan_Calculator!$C$11,-IPMT(Loan_Calculator!$C$10,A231,Loan_Calculator!$C$11,Loan_Calculator!$B$4),0)</f>
        <v>1902.1549832509795</v>
      </c>
      <c r="G231" s="5">
        <f t="shared" si="9"/>
        <v>248746.10119630897</v>
      </c>
    </row>
    <row r="232" spans="1:7" x14ac:dyDescent="0.25">
      <c r="A232">
        <v>229</v>
      </c>
      <c r="B232" s="4">
        <f t="shared" si="10"/>
        <v>53175</v>
      </c>
      <c r="C232" s="5">
        <f t="shared" si="11"/>
        <v>248746.10119630897</v>
      </c>
      <c r="D232" s="5">
        <f>IF(A232&lt;=Loan_Calculator!$C$11,Loan_Calculator!$C$12,0)</f>
        <v>21695.580834138349</v>
      </c>
      <c r="E232" s="5">
        <f>IF(A232&lt;=Loan_Calculator!$C$11,-PPMT(Loan_Calculator!$C$10,A232,Loan_Calculator!$C$11,Loan_Calculator!$B$4),0)</f>
        <v>19933.629283997823</v>
      </c>
      <c r="F232" s="5">
        <f>IF(A232&lt;=Loan_Calculator!$C$11,-IPMT(Loan_Calculator!$C$10,A232,Loan_Calculator!$C$11,Loan_Calculator!$B$4),0)</f>
        <v>1761.9515501405276</v>
      </c>
      <c r="G232" s="5">
        <f t="shared" si="9"/>
        <v>228812.47191231116</v>
      </c>
    </row>
    <row r="233" spans="1:7" x14ac:dyDescent="0.25">
      <c r="A233">
        <v>230</v>
      </c>
      <c r="B233" s="4">
        <f t="shared" si="10"/>
        <v>53206</v>
      </c>
      <c r="C233" s="5">
        <f t="shared" si="11"/>
        <v>228812.47191231116</v>
      </c>
      <c r="D233" s="5">
        <f>IF(A233&lt;=Loan_Calculator!$C$11,Loan_Calculator!$C$12,0)</f>
        <v>21695.580834138349</v>
      </c>
      <c r="E233" s="5">
        <f>IF(A233&lt;=Loan_Calculator!$C$11,-PPMT(Loan_Calculator!$C$10,A233,Loan_Calculator!$C$11,Loan_Calculator!$B$4),0)</f>
        <v>20074.825824759471</v>
      </c>
      <c r="F233" s="5">
        <f>IF(A233&lt;=Loan_Calculator!$C$11,-IPMT(Loan_Calculator!$C$10,A233,Loan_Calculator!$C$11,Loan_Calculator!$B$4),0)</f>
        <v>1620.7550093788759</v>
      </c>
      <c r="G233" s="5">
        <f t="shared" si="9"/>
        <v>208737.64608755169</v>
      </c>
    </row>
    <row r="234" spans="1:7" x14ac:dyDescent="0.25">
      <c r="A234">
        <v>231</v>
      </c>
      <c r="B234" s="4">
        <f t="shared" si="10"/>
        <v>53236</v>
      </c>
      <c r="C234" s="5">
        <f t="shared" si="11"/>
        <v>208737.64608755169</v>
      </c>
      <c r="D234" s="5">
        <f>IF(A234&lt;=Loan_Calculator!$C$11,Loan_Calculator!$C$12,0)</f>
        <v>21695.580834138349</v>
      </c>
      <c r="E234" s="5">
        <f>IF(A234&lt;=Loan_Calculator!$C$11,-PPMT(Loan_Calculator!$C$10,A234,Loan_Calculator!$C$11,Loan_Calculator!$B$4),0)</f>
        <v>20217.022507684851</v>
      </c>
      <c r="F234" s="5">
        <f>IF(A234&lt;=Loan_Calculator!$C$11,-IPMT(Loan_Calculator!$C$10,A234,Loan_Calculator!$C$11,Loan_Calculator!$B$4),0)</f>
        <v>1478.5583264534964</v>
      </c>
      <c r="G234" s="5">
        <f t="shared" si="9"/>
        <v>188520.62357986683</v>
      </c>
    </row>
    <row r="235" spans="1:7" x14ac:dyDescent="0.25">
      <c r="A235">
        <v>232</v>
      </c>
      <c r="B235" s="4">
        <f t="shared" si="10"/>
        <v>53267</v>
      </c>
      <c r="C235" s="5">
        <f t="shared" si="11"/>
        <v>188520.62357986683</v>
      </c>
      <c r="D235" s="5">
        <f>IF(A235&lt;=Loan_Calculator!$C$11,Loan_Calculator!$C$12,0)</f>
        <v>21695.580834138349</v>
      </c>
      <c r="E235" s="5">
        <f>IF(A235&lt;=Loan_Calculator!$C$11,-PPMT(Loan_Calculator!$C$10,A235,Loan_Calculator!$C$11,Loan_Calculator!$B$4),0)</f>
        <v>20360.226417114285</v>
      </c>
      <c r="F235" s="5">
        <f>IF(A235&lt;=Loan_Calculator!$C$11,-IPMT(Loan_Calculator!$C$10,A235,Loan_Calculator!$C$11,Loan_Calculator!$B$4),0)</f>
        <v>1335.3544170240623</v>
      </c>
      <c r="G235" s="5">
        <f t="shared" si="9"/>
        <v>168160.39716275255</v>
      </c>
    </row>
    <row r="236" spans="1:7" x14ac:dyDescent="0.25">
      <c r="A236">
        <v>233</v>
      </c>
      <c r="B236" s="4">
        <f t="shared" si="10"/>
        <v>53297</v>
      </c>
      <c r="C236" s="5">
        <f t="shared" si="11"/>
        <v>168160.39716275255</v>
      </c>
      <c r="D236" s="5">
        <f>IF(A236&lt;=Loan_Calculator!$C$11,Loan_Calculator!$C$12,0)</f>
        <v>21695.580834138349</v>
      </c>
      <c r="E236" s="5">
        <f>IF(A236&lt;=Loan_Calculator!$C$11,-PPMT(Loan_Calculator!$C$10,A236,Loan_Calculator!$C$11,Loan_Calculator!$B$4),0)</f>
        <v>20504.444687568845</v>
      </c>
      <c r="F236" s="5">
        <f>IF(A236&lt;=Loan_Calculator!$C$11,-IPMT(Loan_Calculator!$C$10,A236,Loan_Calculator!$C$11,Loan_Calculator!$B$4),0)</f>
        <v>1191.1361465695024</v>
      </c>
      <c r="G236" s="5">
        <f t="shared" si="9"/>
        <v>147655.9524751837</v>
      </c>
    </row>
    <row r="237" spans="1:7" x14ac:dyDescent="0.25">
      <c r="A237">
        <v>234</v>
      </c>
      <c r="B237" s="4">
        <f t="shared" si="10"/>
        <v>53328</v>
      </c>
      <c r="C237" s="5">
        <f t="shared" si="11"/>
        <v>147655.9524751837</v>
      </c>
      <c r="D237" s="5">
        <f>IF(A237&lt;=Loan_Calculator!$C$11,Loan_Calculator!$C$12,0)</f>
        <v>21695.580834138349</v>
      </c>
      <c r="E237" s="5">
        <f>IF(A237&lt;=Loan_Calculator!$C$11,-PPMT(Loan_Calculator!$C$10,A237,Loan_Calculator!$C$11,Loan_Calculator!$B$4),0)</f>
        <v>20649.68450410579</v>
      </c>
      <c r="F237" s="5">
        <f>IF(A237&lt;=Loan_Calculator!$C$11,-IPMT(Loan_Calculator!$C$10,A237,Loan_Calculator!$C$11,Loan_Calculator!$B$4),0)</f>
        <v>1045.8963300325568</v>
      </c>
      <c r="G237" s="5">
        <f t="shared" si="9"/>
        <v>127006.2679710779</v>
      </c>
    </row>
    <row r="238" spans="1:7" x14ac:dyDescent="0.25">
      <c r="A238">
        <v>235</v>
      </c>
      <c r="B238" s="4">
        <f t="shared" si="10"/>
        <v>53359</v>
      </c>
      <c r="C238" s="5">
        <f t="shared" si="11"/>
        <v>127006.2679710779</v>
      </c>
      <c r="D238" s="5">
        <f>IF(A238&lt;=Loan_Calculator!$C$11,Loan_Calculator!$C$12,0)</f>
        <v>21695.580834138349</v>
      </c>
      <c r="E238" s="5">
        <f>IF(A238&lt;=Loan_Calculator!$C$11,-PPMT(Loan_Calculator!$C$10,A238,Loan_Calculator!$C$11,Loan_Calculator!$B$4),0)</f>
        <v>20795.95310267654</v>
      </c>
      <c r="F238" s="5">
        <f>IF(A238&lt;=Loan_Calculator!$C$11,-IPMT(Loan_Calculator!$C$10,A238,Loan_Calculator!$C$11,Loan_Calculator!$B$4),0)</f>
        <v>899.62773146180734</v>
      </c>
      <c r="G238" s="5">
        <f t="shared" si="9"/>
        <v>106210.31486840136</v>
      </c>
    </row>
    <row r="239" spans="1:7" x14ac:dyDescent="0.25">
      <c r="A239">
        <v>236</v>
      </c>
      <c r="B239" s="4">
        <f t="shared" si="10"/>
        <v>53387</v>
      </c>
      <c r="C239" s="5">
        <f t="shared" si="11"/>
        <v>106210.31486840136</v>
      </c>
      <c r="D239" s="5">
        <f>IF(A239&lt;=Loan_Calculator!$C$11,Loan_Calculator!$C$12,0)</f>
        <v>21695.580834138349</v>
      </c>
      <c r="E239" s="5">
        <f>IF(A239&lt;=Loan_Calculator!$C$11,-PPMT(Loan_Calculator!$C$10,A239,Loan_Calculator!$C$11,Loan_Calculator!$B$4),0)</f>
        <v>20943.257770487166</v>
      </c>
      <c r="F239" s="5">
        <f>IF(A239&lt;=Loan_Calculator!$C$11,-IPMT(Loan_Calculator!$C$10,A239,Loan_Calculator!$C$11,Loan_Calculator!$B$4),0)</f>
        <v>752.32306365118188</v>
      </c>
      <c r="G239" s="5">
        <f t="shared" si="9"/>
        <v>85267.057097914192</v>
      </c>
    </row>
    <row r="240" spans="1:7" x14ac:dyDescent="0.25">
      <c r="A240">
        <v>237</v>
      </c>
      <c r="B240" s="4">
        <f t="shared" si="10"/>
        <v>53418</v>
      </c>
      <c r="C240" s="5">
        <f t="shared" si="11"/>
        <v>85267.057097914192</v>
      </c>
      <c r="D240" s="5">
        <f>IF(A240&lt;=Loan_Calculator!$C$11,Loan_Calculator!$C$12,0)</f>
        <v>21695.580834138349</v>
      </c>
      <c r="E240" s="5">
        <f>IF(A240&lt;=Loan_Calculator!$C$11,-PPMT(Loan_Calculator!$C$10,A240,Loan_Calculator!$C$11,Loan_Calculator!$B$4),0)</f>
        <v>21091.60584636145</v>
      </c>
      <c r="F240" s="5">
        <f>IF(A240&lt;=Loan_Calculator!$C$11,-IPMT(Loan_Calculator!$C$10,A240,Loan_Calculator!$C$11,Loan_Calculator!$B$4),0)</f>
        <v>603.97498777689782</v>
      </c>
      <c r="G240" s="5">
        <f t="shared" si="9"/>
        <v>64175.451251552746</v>
      </c>
    </row>
    <row r="241" spans="1:7" x14ac:dyDescent="0.25">
      <c r="A241">
        <v>238</v>
      </c>
      <c r="B241" s="4">
        <f t="shared" si="10"/>
        <v>53448</v>
      </c>
      <c r="C241" s="5">
        <f t="shared" si="11"/>
        <v>64175.451251552746</v>
      </c>
      <c r="D241" s="5">
        <f>IF(A241&lt;=Loan_Calculator!$C$11,Loan_Calculator!$C$12,0)</f>
        <v>21695.580834138349</v>
      </c>
      <c r="E241" s="5">
        <f>IF(A241&lt;=Loan_Calculator!$C$11,-PPMT(Loan_Calculator!$C$10,A241,Loan_Calculator!$C$11,Loan_Calculator!$B$4),0)</f>
        <v>21241.00472110651</v>
      </c>
      <c r="F241" s="5">
        <f>IF(A241&lt;=Loan_Calculator!$C$11,-IPMT(Loan_Calculator!$C$10,A241,Loan_Calculator!$C$11,Loan_Calculator!$B$4),0)</f>
        <v>454.57611303183745</v>
      </c>
      <c r="G241" s="5">
        <f t="shared" si="9"/>
        <v>42934.446530446236</v>
      </c>
    </row>
    <row r="242" spans="1:7" x14ac:dyDescent="0.25">
      <c r="A242">
        <v>239</v>
      </c>
      <c r="B242" s="4">
        <f t="shared" si="10"/>
        <v>53479</v>
      </c>
      <c r="C242" s="5">
        <f t="shared" si="11"/>
        <v>42934.446530446236</v>
      </c>
      <c r="D242" s="5">
        <f>IF(A242&lt;=Loan_Calculator!$C$11,Loan_Calculator!$C$12,0)</f>
        <v>21695.580834138349</v>
      </c>
      <c r="E242" s="5">
        <f>IF(A242&lt;=Loan_Calculator!$C$11,-PPMT(Loan_Calculator!$C$10,A242,Loan_Calculator!$C$11,Loan_Calculator!$B$4),0)</f>
        <v>21391.461837881016</v>
      </c>
      <c r="F242" s="5">
        <f>IF(A242&lt;=Loan_Calculator!$C$11,-IPMT(Loan_Calculator!$C$10,A242,Loan_Calculator!$C$11,Loan_Calculator!$B$4),0)</f>
        <v>304.11899625733298</v>
      </c>
      <c r="G242" s="5">
        <f t="shared" si="9"/>
        <v>21542.98469256522</v>
      </c>
    </row>
    <row r="243" spans="1:7" x14ac:dyDescent="0.25">
      <c r="A243">
        <v>240</v>
      </c>
      <c r="B243" s="4">
        <f t="shared" si="10"/>
        <v>53509</v>
      </c>
      <c r="C243" s="5">
        <f t="shared" si="11"/>
        <v>21542.98469256522</v>
      </c>
      <c r="D243" s="5">
        <f>IF(A243&lt;=Loan_Calculator!$C$11,Loan_Calculator!$C$12,0)</f>
        <v>21695.580834138349</v>
      </c>
      <c r="E243" s="5">
        <f>IF(A243&lt;=Loan_Calculator!$C$11,-PPMT(Loan_Calculator!$C$10,A243,Loan_Calculator!$C$11,Loan_Calculator!$B$4),0)</f>
        <v>21542.984692566006</v>
      </c>
      <c r="F243" s="5">
        <f>IF(A243&lt;=Loan_Calculator!$C$11,-IPMT(Loan_Calculator!$C$10,A243,Loan_Calculator!$C$11,Loan_Calculator!$B$4),0)</f>
        <v>152.59614157234253</v>
      </c>
      <c r="G243" s="5">
        <f t="shared" si="9"/>
        <v>0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zoomScaleNormal="100" workbookViewId="0">
      <selection activeCell="E26" sqref="E26"/>
    </sheetView>
  </sheetViews>
  <sheetFormatPr defaultColWidth="8.7109375" defaultRowHeight="15" x14ac:dyDescent="0.25"/>
  <cols>
    <col min="1" max="1" width="11" customWidth="1"/>
    <col min="2" max="3" width="18" customWidth="1"/>
    <col min="4" max="4" width="16" customWidth="1"/>
    <col min="5" max="5" width="20" customWidth="1"/>
  </cols>
  <sheetData>
    <row r="1" spans="1:5" ht="18" customHeight="1" x14ac:dyDescent="0.25">
      <c r="A1" s="22" t="s">
        <v>21</v>
      </c>
      <c r="B1" s="22"/>
      <c r="C1" s="22"/>
      <c r="D1" s="22"/>
      <c r="E1" s="22"/>
    </row>
    <row r="2" spans="1:5" x14ac:dyDescent="0.25">
      <c r="A2" s="22"/>
      <c r="B2" s="22"/>
      <c r="C2" s="22"/>
      <c r="D2" s="22"/>
      <c r="E2" s="22"/>
    </row>
    <row r="3" spans="1:5" ht="30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</row>
    <row r="4" spans="1:5" x14ac:dyDescent="0.25">
      <c r="A4">
        <v>1</v>
      </c>
      <c r="B4" s="5">
        <f>SUMIFS(Amortization_Schedule!$E$4:$E$243,Amortization_Schedule!$A$4:$A$243,"&gt;="&amp;1,Amortization_Schedule!$A$4:$A$243,"&lt;="&amp;12)</f>
        <v>49755.729686724801</v>
      </c>
      <c r="C4" s="5">
        <f>SUMIFS(Amortization_Schedule!$F$4:$F$243,Amortization_Schedule!$A$4:$A$243,"&gt;="&amp;1,Amortization_Schedule!$A$4:$A$243,"&lt;="&amp;12)</f>
        <v>210591.24032293539</v>
      </c>
      <c r="D4" s="5">
        <f t="shared" ref="D4:D23" si="0">B4+C4</f>
        <v>260346.9700096602</v>
      </c>
      <c r="E4" s="5">
        <f>IFERROR(INDEX(Amortization_Schedule!$G$4:$G$243,12),0)</f>
        <v>2450244.270313275</v>
      </c>
    </row>
    <row r="5" spans="1:5" x14ac:dyDescent="0.25">
      <c r="A5">
        <v>2</v>
      </c>
      <c r="B5" s="5">
        <f>SUMIFS(Amortization_Schedule!$E$4:$E$243,Amortization_Schedule!$A$4:$A$243,"&gt;="&amp;13,Amortization_Schedule!$A$4:$A$243,"&lt;="&amp;24)</f>
        <v>54153.683707083488</v>
      </c>
      <c r="C5" s="5">
        <f>SUMIFS(Amortization_Schedule!$F$4:$F$243,Amortization_Schedule!$A$4:$A$243,"&gt;="&amp;13,Amortization_Schedule!$A$4:$A$243,"&lt;="&amp;24)</f>
        <v>206193.28630257669</v>
      </c>
      <c r="D5" s="5">
        <f t="shared" si="0"/>
        <v>260346.97000966017</v>
      </c>
      <c r="E5" s="5">
        <f>IFERROR(INDEX(Amortization_Schedule!$G$4:$G$243,24),0)</f>
        <v>2396090.5866061915</v>
      </c>
    </row>
    <row r="6" spans="1:5" x14ac:dyDescent="0.25">
      <c r="A6">
        <v>3</v>
      </c>
      <c r="B6" s="5">
        <f>SUMIFS(Amortization_Schedule!$E$4:$E$243,Amortization_Schedule!$A$4:$A$243,"&gt;="&amp;25,Amortization_Schedule!$A$4:$A$243,"&lt;="&amp;36)</f>
        <v>58940.376867375824</v>
      </c>
      <c r="C6" s="5">
        <f>SUMIFS(Amortization_Schedule!$F$4:$F$243,Amortization_Schedule!$A$4:$A$243,"&gt;="&amp;25,Amortization_Schedule!$A$4:$A$243,"&lt;="&amp;36)</f>
        <v>201406.59314228434</v>
      </c>
      <c r="D6" s="5">
        <f t="shared" si="0"/>
        <v>260346.97000966017</v>
      </c>
      <c r="E6" s="5">
        <f>IFERROR(INDEX(Amortization_Schedule!$G$4:$G$243,36),0)</f>
        <v>2337150.2097388147</v>
      </c>
    </row>
    <row r="7" spans="1:5" x14ac:dyDescent="0.25">
      <c r="A7">
        <v>4</v>
      </c>
      <c r="B7" s="5">
        <f>SUMIFS(Amortization_Schedule!$E$4:$E$243,Amortization_Schedule!$A$4:$A$243,"&gt;="&amp;37,Amortization_Schedule!$A$4:$A$243,"&lt;="&amp;48)</f>
        <v>64150.170172336497</v>
      </c>
      <c r="C7" s="5">
        <f>SUMIFS(Amortization_Schedule!$F$4:$F$243,Amortization_Schedule!$A$4:$A$243,"&gt;="&amp;37,Amortization_Schedule!$A$4:$A$243,"&lt;="&amp;48)</f>
        <v>196196.79983732369</v>
      </c>
      <c r="D7" s="5">
        <f t="shared" si="0"/>
        <v>260346.97000966017</v>
      </c>
      <c r="E7" s="5">
        <f>IFERROR(INDEX(Amortization_Schedule!$G$4:$G$243,48),0)</f>
        <v>2273000.0395664782</v>
      </c>
    </row>
    <row r="8" spans="1:5" x14ac:dyDescent="0.25">
      <c r="A8">
        <v>5</v>
      </c>
      <c r="B8" s="5">
        <f>SUMIFS(Amortization_Schedule!$E$4:$E$243,Amortization_Schedule!$A$4:$A$243,"&gt;="&amp;49,Amortization_Schedule!$A$4:$A$243,"&lt;="&amp;60)</f>
        <v>69820.461827036008</v>
      </c>
      <c r="C8" s="5">
        <f>SUMIFS(Amortization_Schedule!$F$4:$F$243,Amortization_Schedule!$A$4:$A$243,"&gt;="&amp;49,Amortization_Schedule!$A$4:$A$243,"&lt;="&amp;60)</f>
        <v>190526.50818262421</v>
      </c>
      <c r="D8" s="5">
        <f t="shared" si="0"/>
        <v>260346.97000966023</v>
      </c>
      <c r="E8" s="5">
        <f>IFERROR(INDEX(Amortization_Schedule!$G$4:$G$243,60),0)</f>
        <v>2203179.5777394427</v>
      </c>
    </row>
    <row r="9" spans="1:5" x14ac:dyDescent="0.25">
      <c r="A9">
        <v>6</v>
      </c>
      <c r="B9" s="5">
        <f>SUMIFS(Amortization_Schedule!$E$4:$E$243,Amortization_Schedule!$A$4:$A$243,"&gt;="&amp;61,Amortization_Schedule!$A$4:$A$243,"&lt;="&amp;72)</f>
        <v>75991.955697769881</v>
      </c>
      <c r="C9" s="5">
        <f>SUMIFS(Amortization_Schedule!$F$4:$F$243,Amortization_Schedule!$A$4:$A$243,"&gt;="&amp;61,Amortization_Schedule!$A$4:$A$243,"&lt;="&amp;72)</f>
        <v>184355.01431189029</v>
      </c>
      <c r="D9" s="5">
        <f t="shared" si="0"/>
        <v>260346.97000966017</v>
      </c>
      <c r="E9" s="5">
        <f>IFERROR(INDEX(Amortization_Schedule!$G$4:$G$243,72),0)</f>
        <v>2127187.6220416734</v>
      </c>
    </row>
    <row r="10" spans="1:5" x14ac:dyDescent="0.25">
      <c r="A10">
        <v>7</v>
      </c>
      <c r="B10" s="5">
        <f>SUMIFS(Amortization_Schedule!$E$4:$E$243,Amortization_Schedule!$A$4:$A$243,"&gt;="&amp;73,Amortization_Schedule!$A$4:$A$243,"&lt;="&amp;84)</f>
        <v>82708.953502448756</v>
      </c>
      <c r="C10" s="5">
        <f>SUMIFS(Amortization_Schedule!$F$4:$F$243,Amortization_Schedule!$A$4:$A$243,"&gt;="&amp;73,Amortization_Schedule!$A$4:$A$243,"&lt;="&amp;84)</f>
        <v>177638.01650721146</v>
      </c>
      <c r="D10" s="5">
        <f t="shared" si="0"/>
        <v>260346.97000966023</v>
      </c>
      <c r="E10" s="5">
        <f>IFERROR(INDEX(Amortization_Schedule!$G$4:$G$243,84),0)</f>
        <v>2044478.6685392244</v>
      </c>
    </row>
    <row r="11" spans="1:5" x14ac:dyDescent="0.25">
      <c r="A11">
        <v>8</v>
      </c>
      <c r="B11" s="5">
        <f>SUMIFS(Amortization_Schedule!$E$4:$E$243,Amortization_Schedule!$A$4:$A$243,"&gt;="&amp;85,Amortization_Schedule!$A$4:$A$243,"&lt;="&amp;96)</f>
        <v>90019.672827962058</v>
      </c>
      <c r="C11" s="5">
        <f>SUMIFS(Amortization_Schedule!$F$4:$F$243,Amortization_Schedule!$A$4:$A$243,"&gt;="&amp;85,Amortization_Schedule!$A$4:$A$243,"&lt;="&amp;96)</f>
        <v>170327.29718169814</v>
      </c>
      <c r="D11" s="5">
        <f t="shared" si="0"/>
        <v>260346.9700096602</v>
      </c>
      <c r="E11" s="5">
        <f>IFERROR(INDEX(Amortization_Schedule!$G$4:$G$243,96),0)</f>
        <v>1954458.9957112623</v>
      </c>
    </row>
    <row r="12" spans="1:5" x14ac:dyDescent="0.25">
      <c r="A12">
        <v>9</v>
      </c>
      <c r="B12" s="5">
        <f>SUMIFS(Amortization_Schedule!$E$4:$E$243,Amortization_Schedule!$A$4:$A$243,"&gt;="&amp;97,Amortization_Schedule!$A$4:$A$243,"&lt;="&amp;108)</f>
        <v>97976.593257384258</v>
      </c>
      <c r="C12" s="5">
        <f>SUMIFS(Amortization_Schedule!$F$4:$F$243,Amortization_Schedule!$A$4:$A$243,"&gt;="&amp;97,Amortization_Schedule!$A$4:$A$243,"&lt;="&amp;108)</f>
        <v>162370.37675227594</v>
      </c>
      <c r="D12" s="5">
        <f t="shared" si="0"/>
        <v>260346.9700096602</v>
      </c>
      <c r="E12" s="5">
        <f>IFERROR(INDEX(Amortization_Schedule!$G$4:$G$243,108),0)</f>
        <v>1856482.4024538784</v>
      </c>
    </row>
    <row r="13" spans="1:5" x14ac:dyDescent="0.25">
      <c r="A13">
        <v>10</v>
      </c>
      <c r="B13" s="5">
        <f>SUMIFS(Amortization_Schedule!$E$4:$E$243,Amortization_Schedule!$A$4:$A$243,"&gt;="&amp;109,Amortization_Schedule!$A$4:$A$243,"&lt;="&amp;120)</f>
        <v>106636.83309167868</v>
      </c>
      <c r="C13" s="5">
        <f>SUMIFS(Amortization_Schedule!$F$4:$F$243,Amortization_Schedule!$A$4:$A$243,"&gt;="&amp;109,Amortization_Schedule!$A$4:$A$243,"&lt;="&amp;120)</f>
        <v>153710.13691798152</v>
      </c>
      <c r="D13" s="5">
        <f t="shared" si="0"/>
        <v>260346.9700096602</v>
      </c>
      <c r="E13" s="5">
        <f>IFERROR(INDEX(Amortization_Schedule!$G$4:$G$243,120),0)</f>
        <v>1749845.5693622003</v>
      </c>
    </row>
    <row r="14" spans="1:5" x14ac:dyDescent="0.25">
      <c r="A14">
        <v>11</v>
      </c>
      <c r="B14" s="5">
        <f>SUMIFS(Amortization_Schedule!$E$4:$E$243,Amortization_Schedule!$A$4:$A$243,"&gt;="&amp;121,Amortization_Schedule!$A$4:$A$243,"&lt;="&amp;132)</f>
        <v>116062.5593701739</v>
      </c>
      <c r="C14" s="5">
        <f>SUMIFS(Amortization_Schedule!$F$4:$F$243,Amortization_Schedule!$A$4:$A$243,"&gt;="&amp;121,Amortization_Schedule!$A$4:$A$243,"&lt;="&amp;132)</f>
        <v>144284.41063948628</v>
      </c>
      <c r="D14" s="5">
        <f t="shared" si="0"/>
        <v>260346.97000966017</v>
      </c>
      <c r="E14" s="5">
        <f>IFERROR(INDEX(Amortization_Schedule!$G$4:$G$243,132),0)</f>
        <v>1633783.009992026</v>
      </c>
    </row>
    <row r="15" spans="1:5" x14ac:dyDescent="0.25">
      <c r="A15">
        <v>12</v>
      </c>
      <c r="B15" s="5">
        <f>SUMIFS(Amortization_Schedule!$E$4:$E$243,Amortization_Schedule!$A$4:$A$243,"&gt;="&amp;133,Amortization_Schedule!$A$4:$A$243,"&lt;="&amp;144)</f>
        <v>126321.43413312131</v>
      </c>
      <c r="C15" s="5">
        <f>SUMIFS(Amortization_Schedule!$F$4:$F$243,Amortization_Schedule!$A$4:$A$243,"&gt;="&amp;133,Amortization_Schedule!$A$4:$A$243,"&lt;="&amp;144)</f>
        <v>134025.5358765389</v>
      </c>
      <c r="D15" s="5">
        <f t="shared" si="0"/>
        <v>260346.9700096602</v>
      </c>
      <c r="E15" s="5">
        <f>IFERROR(INDEX(Amortization_Schedule!$G$4:$G$243,144),0)</f>
        <v>1507461.575858904</v>
      </c>
    </row>
    <row r="16" spans="1:5" x14ac:dyDescent="0.25">
      <c r="A16">
        <v>13</v>
      </c>
      <c r="B16" s="5">
        <f>SUMIFS(Amortization_Schedule!$E$4:$E$243,Amortization_Schedule!$A$4:$A$243,"&gt;="&amp;145,Amortization_Schedule!$A$4:$A$243,"&lt;="&amp;156)</f>
        <v>137487.10012980475</v>
      </c>
      <c r="C16" s="5">
        <f>SUMIFS(Amortization_Schedule!$F$4:$F$243,Amortization_Schedule!$A$4:$A$243,"&gt;="&amp;145,Amortization_Schedule!$A$4:$A$243,"&lt;="&amp;156)</f>
        <v>122859.86987985543</v>
      </c>
      <c r="D16" s="5">
        <f t="shared" si="0"/>
        <v>260346.97000966017</v>
      </c>
      <c r="E16" s="5">
        <f>IFERROR(INDEX(Amortization_Schedule!$G$4:$G$243,156),0)</f>
        <v>1369974.4757290997</v>
      </c>
    </row>
    <row r="17" spans="1:5" x14ac:dyDescent="0.25">
      <c r="A17">
        <v>14</v>
      </c>
      <c r="B17" s="5">
        <f>SUMIFS(Amortization_Schedule!$E$4:$E$243,Amortization_Schedule!$A$4:$A$243,"&gt;="&amp;157,Amortization_Schedule!$A$4:$A$243,"&lt;="&amp;168)</f>
        <v>149639.7094588296</v>
      </c>
      <c r="C17" s="5">
        <f>SUMIFS(Amortization_Schedule!$F$4:$F$243,Amortization_Schedule!$A$4:$A$243,"&gt;="&amp;157,Amortization_Schedule!$A$4:$A$243,"&lt;="&amp;168)</f>
        <v>110707.26055083056</v>
      </c>
      <c r="D17" s="5">
        <f t="shared" si="0"/>
        <v>260346.97000966017</v>
      </c>
      <c r="E17" s="5">
        <f>IFERROR(INDEX(Amortization_Schedule!$G$4:$G$243,168),0)</f>
        <v>1220334.7662702701</v>
      </c>
    </row>
    <row r="18" spans="1:5" x14ac:dyDescent="0.25">
      <c r="A18">
        <v>15</v>
      </c>
      <c r="B18" s="5">
        <f>SUMIFS(Amortization_Schedule!$E$4:$E$243,Amortization_Schedule!$A$4:$A$243,"&gt;="&amp;169,Amortization_Schedule!$A$4:$A$243,"&lt;="&amp;180)</f>
        <v>162866.49893540627</v>
      </c>
      <c r="C18" s="5">
        <f>SUMIFS(Amortization_Schedule!$F$4:$F$243,Amortization_Schedule!$A$4:$A$243,"&gt;="&amp;169,Amortization_Schedule!$A$4:$A$243,"&lt;="&amp;180)</f>
        <v>97480.471074253903</v>
      </c>
      <c r="D18" s="5">
        <f t="shared" si="0"/>
        <v>260346.97000966017</v>
      </c>
      <c r="E18" s="5">
        <f>IFERROR(INDEX(Amortization_Schedule!$G$4:$G$243,180),0)</f>
        <v>1057468.2673348635</v>
      </c>
    </row>
    <row r="19" spans="1:5" x14ac:dyDescent="0.25">
      <c r="A19">
        <v>16</v>
      </c>
      <c r="B19" s="5">
        <f>SUMIFS(Amortization_Schedule!$E$4:$E$243,Amortization_Schedule!$A$4:$A$243,"&gt;="&amp;181,Amortization_Schedule!$A$4:$A$243,"&lt;="&amp;192)</f>
        <v>177262.41631586873</v>
      </c>
      <c r="C19" s="5">
        <f>SUMIFS(Amortization_Schedule!$F$4:$F$243,Amortization_Schedule!$A$4:$A$243,"&gt;="&amp;181,Amortization_Schedule!$A$4:$A$243,"&lt;="&amp;192)</f>
        <v>83084.553693791444</v>
      </c>
      <c r="D19" s="5">
        <f t="shared" si="0"/>
        <v>260346.97000966017</v>
      </c>
      <c r="E19" s="5">
        <f>IFERROR(INDEX(Amortization_Schedule!$G$4:$G$243,192),0)</f>
        <v>880205.85101899481</v>
      </c>
    </row>
    <row r="20" spans="1:5" x14ac:dyDescent="0.25">
      <c r="A20">
        <v>17</v>
      </c>
      <c r="B20" s="5">
        <f>SUMIFS(Amortization_Schedule!$E$4:$E$243,Amortization_Schedule!$A$4:$A$243,"&gt;="&amp;193,Amortization_Schedule!$A$4:$A$243,"&lt;="&amp;204)</f>
        <v>192930.80187474581</v>
      </c>
      <c r="C20" s="5">
        <f>SUMIFS(Amortization_Schedule!$F$4:$F$243,Amortization_Schedule!$A$4:$A$243,"&gt;="&amp;193,Amortization_Schedule!$A$4:$A$243,"&lt;="&amp;204)</f>
        <v>67416.168134914376</v>
      </c>
      <c r="D20" s="5">
        <f t="shared" si="0"/>
        <v>260346.97000966017</v>
      </c>
      <c r="E20" s="5">
        <f>IFERROR(INDEX(Amortization_Schedule!$G$4:$G$243,204),0)</f>
        <v>687275.04914424918</v>
      </c>
    </row>
    <row r="21" spans="1:5" x14ac:dyDescent="0.25">
      <c r="A21">
        <v>18</v>
      </c>
      <c r="B21" s="5">
        <f>SUMIFS(Amortization_Schedule!$E$4:$E$243,Amortization_Schedule!$A$4:$A$243,"&gt;="&amp;205,Amortization_Schedule!$A$4:$A$243,"&lt;="&amp;216)</f>
        <v>209984.13022704711</v>
      </c>
      <c r="C21" s="5">
        <f>SUMIFS(Amortization_Schedule!$F$4:$F$243,Amortization_Schedule!$A$4:$A$243,"&gt;="&amp;205,Amortization_Schedule!$A$4:$A$243,"&lt;="&amp;216)</f>
        <v>50362.839782613082</v>
      </c>
      <c r="D21" s="5">
        <f t="shared" si="0"/>
        <v>260346.97000966017</v>
      </c>
      <c r="E21" s="5">
        <f>IFERROR(INDEX(Amortization_Schedule!$G$4:$G$243,216),0)</f>
        <v>477290.91891720181</v>
      </c>
    </row>
    <row r="22" spans="1:5" x14ac:dyDescent="0.25">
      <c r="A22">
        <v>19</v>
      </c>
      <c r="B22" s="5">
        <f>SUMIFS(Amortization_Schedule!$E$4:$E$243,Amortization_Schedule!$A$4:$A$243,"&gt;="&amp;217,Amortization_Schedule!$A$4:$A$243,"&lt;="&amp;228)</f>
        <v>228544.8177208929</v>
      </c>
      <c r="C22" s="5">
        <f>SUMIFS(Amortization_Schedule!$F$4:$F$243,Amortization_Schedule!$A$4:$A$243,"&gt;="&amp;217,Amortization_Schedule!$A$4:$A$243,"&lt;="&amp;228)</f>
        <v>31802.15228876732</v>
      </c>
      <c r="D22" s="5">
        <f t="shared" si="0"/>
        <v>260346.97000966023</v>
      </c>
      <c r="E22" s="5">
        <f>IFERROR(INDEX(Amortization_Schedule!$G$4:$G$243,228),0)</f>
        <v>248746.10119630897</v>
      </c>
    </row>
    <row r="23" spans="1:5" x14ac:dyDescent="0.25">
      <c r="A23">
        <v>20</v>
      </c>
      <c r="B23" s="5">
        <f>SUMIFS(Amortization_Schedule!$E$4:$E$243,Amortization_Schedule!$A$4:$A$243,"&gt;="&amp;229,Amortization_Schedule!$A$4:$A$243,"&lt;="&amp;240)</f>
        <v>248746.10119630976</v>
      </c>
      <c r="C23" s="5">
        <f>SUMIFS(Amortization_Schedule!$F$4:$F$243,Amortization_Schedule!$A$4:$A$243,"&gt;="&amp;229,Amortization_Schedule!$A$4:$A$243,"&lt;="&amp;240)</f>
        <v>11600.868813350422</v>
      </c>
      <c r="D23" s="5">
        <f t="shared" si="0"/>
        <v>260346.97000966017</v>
      </c>
      <c r="E23" s="5">
        <f>IFERROR(INDEX(Amortization_Schedule!$G$4:$G$243,240),0)</f>
        <v>0</v>
      </c>
    </row>
  </sheetData>
  <mergeCells count="1">
    <mergeCell ref="A1:E2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zoomScaleNormal="100" workbookViewId="0">
      <selection activeCell="B20" sqref="B20"/>
    </sheetView>
  </sheetViews>
  <sheetFormatPr defaultColWidth="8.7109375" defaultRowHeight="15" x14ac:dyDescent="0.25"/>
  <cols>
    <col min="1" max="1" width="22" customWidth="1"/>
    <col min="2" max="6" width="14" customWidth="1"/>
  </cols>
  <sheetData>
    <row r="1" spans="1:8" ht="18" x14ac:dyDescent="0.25">
      <c r="A1" s="22" t="s">
        <v>27</v>
      </c>
      <c r="B1" s="22"/>
      <c r="C1" s="22"/>
      <c r="D1" s="22"/>
      <c r="E1" s="22"/>
      <c r="F1" s="22"/>
      <c r="G1" s="21"/>
      <c r="H1" s="21"/>
    </row>
    <row r="2" spans="1:8" x14ac:dyDescent="0.25">
      <c r="A2" s="22"/>
      <c r="B2" s="22"/>
      <c r="C2" s="22"/>
      <c r="D2" s="22"/>
      <c r="E2" s="22"/>
      <c r="F2" s="22"/>
    </row>
    <row r="3" spans="1:8" x14ac:dyDescent="0.25">
      <c r="A3" s="6" t="s">
        <v>28</v>
      </c>
      <c r="B3" s="7">
        <v>10</v>
      </c>
      <c r="C3" s="7">
        <v>15</v>
      </c>
      <c r="D3" s="7">
        <v>20</v>
      </c>
      <c r="E3" s="7">
        <v>25</v>
      </c>
      <c r="F3" s="7">
        <v>30</v>
      </c>
    </row>
    <row r="4" spans="1:8" x14ac:dyDescent="0.25">
      <c r="A4" s="8">
        <v>7.4999999999999997E-2</v>
      </c>
      <c r="B4" s="5">
        <f>-PMT($A4/12,10*12,Loan_Calculator!$B$4)</f>
        <v>29675.442283963555</v>
      </c>
      <c r="C4" s="5">
        <f>-PMT($A4/12,15*12,Loan_Calculator!$B$4)</f>
        <v>23175.309000068457</v>
      </c>
      <c r="D4" s="5">
        <f>-PMT($A4/12,20*12,Loan_Calculator!$B$4)</f>
        <v>20139.82983879518</v>
      </c>
      <c r="E4" s="5">
        <f>-PMT($A4/12,25*12,Loan_Calculator!$B$4)</f>
        <v>18474.779444936485</v>
      </c>
      <c r="F4" s="5">
        <f>-PMT($A4/12,30*12,Loan_Calculator!$B$4)</f>
        <v>17480.362713819479</v>
      </c>
    </row>
    <row r="5" spans="1:8" x14ac:dyDescent="0.25">
      <c r="A5" s="8">
        <v>0.08</v>
      </c>
      <c r="B5" s="5">
        <f>-PMT($A5/12,10*12,Loan_Calculator!$B$4)</f>
        <v>30331.898588839231</v>
      </c>
      <c r="C5" s="5">
        <f>-PMT($A5/12,15*12,Loan_Calculator!$B$4)</f>
        <v>23891.302108258787</v>
      </c>
      <c r="D5" s="5">
        <f>-PMT($A5/12,20*12,Loan_Calculator!$B$4)</f>
        <v>20911.001724836569</v>
      </c>
      <c r="E5" s="5">
        <f>-PMT($A5/12,25*12,Loan_Calculator!$B$4)</f>
        <v>19295.405484325078</v>
      </c>
      <c r="F5" s="5">
        <f>-PMT($A5/12,30*12,Loan_Calculator!$B$4)</f>
        <v>18344.114346984406</v>
      </c>
    </row>
    <row r="6" spans="1:8" x14ac:dyDescent="0.25">
      <c r="A6" s="8">
        <v>8.5000000000000006E-2</v>
      </c>
      <c r="B6" s="5">
        <f>-PMT($A6/12,10*12,Loan_Calculator!$B$4)</f>
        <v>30996.42221862778</v>
      </c>
      <c r="C6" s="5">
        <f>-PMT($A6/12,15*12,Loan_Calculator!$B$4)</f>
        <v>24618.488948139831</v>
      </c>
      <c r="D6" s="2">
        <f>-PMT($A6/12,20*12,Loan_Calculator!$B$4)</f>
        <v>21695.580834138349</v>
      </c>
      <c r="E6" s="5">
        <f>-PMT($A6/12,25*12,Loan_Calculator!$B$4)</f>
        <v>20130.677086553282</v>
      </c>
      <c r="F6" s="5">
        <f>-PMT($A6/12,30*12,Loan_Calculator!$B$4)</f>
        <v>19222.83708960834</v>
      </c>
    </row>
    <row r="7" spans="1:8" x14ac:dyDescent="0.25">
      <c r="A7" s="8">
        <v>0.09</v>
      </c>
      <c r="B7" s="5">
        <f>-PMT($A7/12,10*12,Loan_Calculator!$B$4)</f>
        <v>31668.943437562368</v>
      </c>
      <c r="C7" s="5">
        <f>-PMT($A7/12,15*12,Loan_Calculator!$B$4)</f>
        <v>25356.664604044625</v>
      </c>
      <c r="D7" s="5">
        <f>-PMT($A7/12,20*12,Loan_Calculator!$B$4)</f>
        <v>22493.148896254326</v>
      </c>
      <c r="E7" s="5">
        <f>-PMT($A7/12,25*12,Loan_Calculator!$B$4)</f>
        <v>20979.909090871082</v>
      </c>
      <c r="F7" s="5">
        <f>-PMT($A7/12,30*12,Loan_Calculator!$B$4)</f>
        <v>20115.565423619566</v>
      </c>
    </row>
    <row r="8" spans="1:8" x14ac:dyDescent="0.25">
      <c r="A8" s="8">
        <v>9.5000000000000001E-2</v>
      </c>
      <c r="B8" s="5">
        <f>-PMT($A8/12,10*12,Loan_Calculator!$B$4)</f>
        <v>32349.389390194254</v>
      </c>
      <c r="C8" s="5">
        <f>-PMT($A8/12,15*12,Loan_Calculator!$B$4)</f>
        <v>26105.617071594661</v>
      </c>
      <c r="D8" s="5">
        <f>-PMT($A8/12,20*12,Loan_Calculator!$B$4)</f>
        <v>23303.279695837955</v>
      </c>
      <c r="E8" s="5">
        <f>-PMT($A8/12,25*12,Loan_Calculator!$B$4)</f>
        <v>21842.416521576863</v>
      </c>
      <c r="F8" s="5">
        <f>-PMT($A8/12,30*12,Loan_Calculator!$B$4)</f>
        <v>21021.355179468701</v>
      </c>
    </row>
    <row r="9" spans="1:8" x14ac:dyDescent="0.25">
      <c r="A9" s="8">
        <v>0.1</v>
      </c>
      <c r="B9" s="5">
        <f>-PMT($A9/12,10*12,Loan_Calculator!$B$4)</f>
        <v>33037.684220440417</v>
      </c>
      <c r="C9" s="5">
        <f>-PMT($A9/12,15*12,Loan_Calculator!$B$4)</f>
        <v>26865.127942702904</v>
      </c>
      <c r="D9" s="5">
        <f>-PMT($A9/12,20*12,Loan_Calculator!$B$4)</f>
        <v>24125.541126850196</v>
      </c>
      <c r="E9" s="5">
        <f>-PMT($A9/12,25*12,Loan_Calculator!$B$4)</f>
        <v>22717.518638501515</v>
      </c>
      <c r="F9" s="5">
        <f>-PMT($A9/12,30*12,Loan_Calculator!$B$4)</f>
        <v>21939.289252219969</v>
      </c>
    </row>
  </sheetData>
  <mergeCells count="1">
    <mergeCell ref="A1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Loan_Calculator</vt:lpstr>
      <vt:lpstr>Amortization_Schedule</vt:lpstr>
      <vt:lpstr>Yearly_Summary</vt:lpstr>
      <vt:lpstr>EMI_Sensitivity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Kumar</cp:lastModifiedBy>
  <cp:revision>1</cp:revision>
  <dcterms:created xsi:type="dcterms:W3CDTF">2026-07-14T05:42:28Z</dcterms:created>
  <dcterms:modified xsi:type="dcterms:W3CDTF">2026-07-14T06:08:46Z</dcterms:modified>
  <dc:language>en-US</dc:language>
</cp:coreProperties>
</file>